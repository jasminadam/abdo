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C:\Users\ahmed\Downloads\Telegram Desktop\"/>
    </mc:Choice>
  </mc:AlternateContent>
  <xr:revisionPtr revIDLastSave="0" documentId="13_ncr:1_{DD58E4A8-C890-4CE8-9F98-0396895DB493}" xr6:coauthVersionLast="47" xr6:coauthVersionMax="47" xr10:uidLastSave="{00000000-0000-0000-0000-000000000000}"/>
  <bookViews>
    <workbookView xWindow="-93" yWindow="-93" windowWidth="18426" windowHeight="11746" xr2:uid="{00000000-000D-0000-FFFF-FFFF00000000}"/>
  </bookViews>
  <sheets>
    <sheet name="ورقة1" sheetId="1" r:id="rId1"/>
  </sheets>
  <definedNames>
    <definedName name="_xlnm._FilterDatabase" localSheetId="0" hidden="1">ورقة1!$A$1:$I$208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38" i="1" l="1"/>
  <c r="H238" i="1"/>
  <c r="I238" i="1" s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H220" i="1"/>
  <c r="I220" i="1" s="1"/>
  <c r="H221" i="1"/>
  <c r="I221" i="1" s="1"/>
  <c r="H222" i="1"/>
  <c r="I222" i="1" s="1"/>
  <c r="H223" i="1"/>
  <c r="I223" i="1" s="1"/>
  <c r="H224" i="1"/>
  <c r="I224" i="1" s="1"/>
  <c r="H225" i="1"/>
  <c r="I225" i="1" s="1"/>
  <c r="H226" i="1"/>
  <c r="I226" i="1" s="1"/>
  <c r="H227" i="1"/>
  <c r="I227" i="1" s="1"/>
  <c r="H228" i="1"/>
  <c r="I228" i="1" s="1"/>
  <c r="H229" i="1"/>
  <c r="I229" i="1" s="1"/>
  <c r="H230" i="1"/>
  <c r="I230" i="1" s="1"/>
  <c r="H231" i="1"/>
  <c r="I231" i="1" s="1"/>
  <c r="H232" i="1"/>
  <c r="I232" i="1" s="1"/>
  <c r="H233" i="1"/>
  <c r="I233" i="1" s="1"/>
  <c r="H234" i="1"/>
  <c r="I234" i="1" s="1"/>
  <c r="H235" i="1"/>
  <c r="I235" i="1" s="1"/>
  <c r="H236" i="1"/>
  <c r="I236" i="1" s="1"/>
  <c r="H237" i="1"/>
  <c r="I237" i="1" s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" i="1"/>
  <c r="H3" i="1"/>
  <c r="I3" i="1" s="1"/>
  <c r="H4" i="1"/>
  <c r="I4" i="1" s="1"/>
  <c r="H5" i="1"/>
  <c r="I5" i="1" s="1"/>
  <c r="H6" i="1"/>
  <c r="I6" i="1" s="1"/>
  <c r="H7" i="1"/>
  <c r="I7" i="1" s="1"/>
  <c r="H8" i="1"/>
  <c r="I8" i="1" s="1"/>
  <c r="H9" i="1"/>
  <c r="I9" i="1" s="1"/>
  <c r="H10" i="1"/>
  <c r="I10" i="1" s="1"/>
  <c r="H11" i="1"/>
  <c r="I11" i="1" s="1"/>
  <c r="H12" i="1"/>
  <c r="I12" i="1" s="1"/>
  <c r="H13" i="1"/>
  <c r="I13" i="1" s="1"/>
  <c r="H14" i="1"/>
  <c r="I14" i="1" s="1"/>
  <c r="H15" i="1"/>
  <c r="I15" i="1" s="1"/>
  <c r="H16" i="1"/>
  <c r="I16" i="1" s="1"/>
  <c r="H17" i="1"/>
  <c r="I17" i="1" s="1"/>
  <c r="H18" i="1"/>
  <c r="I18" i="1" s="1"/>
  <c r="H19" i="1"/>
  <c r="I19" i="1" s="1"/>
  <c r="H20" i="1"/>
  <c r="I20" i="1" s="1"/>
  <c r="H21" i="1"/>
  <c r="I21" i="1" s="1"/>
  <c r="H22" i="1"/>
  <c r="I22" i="1" s="1"/>
  <c r="H23" i="1"/>
  <c r="I23" i="1" s="1"/>
  <c r="H24" i="1"/>
  <c r="I24" i="1" s="1"/>
  <c r="H25" i="1"/>
  <c r="I25" i="1" s="1"/>
  <c r="H26" i="1"/>
  <c r="I26" i="1" s="1"/>
  <c r="H27" i="1"/>
  <c r="I27" i="1" s="1"/>
  <c r="H28" i="1"/>
  <c r="I28" i="1" s="1"/>
  <c r="H29" i="1"/>
  <c r="I29" i="1" s="1"/>
  <c r="H30" i="1"/>
  <c r="I30" i="1" s="1"/>
  <c r="H31" i="1"/>
  <c r="I31" i="1" s="1"/>
  <c r="H32" i="1"/>
  <c r="I32" i="1" s="1"/>
  <c r="H33" i="1"/>
  <c r="I33" i="1" s="1"/>
  <c r="H34" i="1"/>
  <c r="I34" i="1" s="1"/>
  <c r="H35" i="1"/>
  <c r="I35" i="1" s="1"/>
  <c r="H36" i="1"/>
  <c r="I36" i="1" s="1"/>
  <c r="H37" i="1"/>
  <c r="I37" i="1" s="1"/>
  <c r="H38" i="1"/>
  <c r="I38" i="1" s="1"/>
  <c r="H39" i="1"/>
  <c r="I39" i="1" s="1"/>
  <c r="H40" i="1"/>
  <c r="I40" i="1" s="1"/>
  <c r="H41" i="1"/>
  <c r="I41" i="1" s="1"/>
  <c r="H42" i="1"/>
  <c r="I42" i="1" s="1"/>
  <c r="H43" i="1"/>
  <c r="I43" i="1" s="1"/>
  <c r="H44" i="1"/>
  <c r="I44" i="1" s="1"/>
  <c r="H45" i="1"/>
  <c r="I45" i="1" s="1"/>
  <c r="H46" i="1"/>
  <c r="I46" i="1" s="1"/>
  <c r="H47" i="1"/>
  <c r="I47" i="1" s="1"/>
  <c r="H48" i="1"/>
  <c r="I48" i="1" s="1"/>
  <c r="H49" i="1"/>
  <c r="I49" i="1" s="1"/>
  <c r="H50" i="1"/>
  <c r="I50" i="1" s="1"/>
  <c r="H51" i="1"/>
  <c r="I51" i="1" s="1"/>
  <c r="H52" i="1"/>
  <c r="I52" i="1" s="1"/>
  <c r="H53" i="1"/>
  <c r="I53" i="1" s="1"/>
  <c r="H54" i="1"/>
  <c r="I54" i="1" s="1"/>
  <c r="H55" i="1"/>
  <c r="I55" i="1" s="1"/>
  <c r="H56" i="1"/>
  <c r="I56" i="1" s="1"/>
  <c r="H57" i="1"/>
  <c r="I57" i="1" s="1"/>
  <c r="H58" i="1"/>
  <c r="I58" i="1" s="1"/>
  <c r="H59" i="1"/>
  <c r="I59" i="1" s="1"/>
  <c r="H60" i="1"/>
  <c r="I60" i="1" s="1"/>
  <c r="H61" i="1"/>
  <c r="I61" i="1" s="1"/>
  <c r="H62" i="1"/>
  <c r="I62" i="1" s="1"/>
  <c r="H63" i="1"/>
  <c r="I63" i="1" s="1"/>
  <c r="H64" i="1"/>
  <c r="I64" i="1" s="1"/>
  <c r="H65" i="1"/>
  <c r="I65" i="1" s="1"/>
  <c r="H66" i="1"/>
  <c r="I66" i="1" s="1"/>
  <c r="H67" i="1"/>
  <c r="I67" i="1" s="1"/>
  <c r="H68" i="1"/>
  <c r="I68" i="1" s="1"/>
  <c r="H69" i="1"/>
  <c r="I69" i="1" s="1"/>
  <c r="H70" i="1"/>
  <c r="I70" i="1" s="1"/>
  <c r="H71" i="1"/>
  <c r="I71" i="1" s="1"/>
  <c r="H72" i="1"/>
  <c r="I72" i="1" s="1"/>
  <c r="H73" i="1"/>
  <c r="I73" i="1" s="1"/>
  <c r="H74" i="1"/>
  <c r="I74" i="1" s="1"/>
  <c r="H75" i="1"/>
  <c r="I75" i="1" s="1"/>
  <c r="H76" i="1"/>
  <c r="I76" i="1" s="1"/>
  <c r="H77" i="1"/>
  <c r="I77" i="1" s="1"/>
  <c r="H78" i="1"/>
  <c r="I78" i="1" s="1"/>
  <c r="H79" i="1"/>
  <c r="I79" i="1" s="1"/>
  <c r="H80" i="1"/>
  <c r="I80" i="1" s="1"/>
  <c r="H81" i="1"/>
  <c r="I81" i="1" s="1"/>
  <c r="H82" i="1"/>
  <c r="I82" i="1" s="1"/>
  <c r="H83" i="1"/>
  <c r="I83" i="1" s="1"/>
  <c r="H84" i="1"/>
  <c r="I84" i="1" s="1"/>
  <c r="H85" i="1"/>
  <c r="I85" i="1" s="1"/>
  <c r="H86" i="1"/>
  <c r="I86" i="1" s="1"/>
  <c r="H87" i="1"/>
  <c r="I87" i="1" s="1"/>
  <c r="H88" i="1"/>
  <c r="I88" i="1" s="1"/>
  <c r="H89" i="1"/>
  <c r="I89" i="1" s="1"/>
  <c r="H90" i="1"/>
  <c r="I90" i="1" s="1"/>
  <c r="H91" i="1"/>
  <c r="I91" i="1" s="1"/>
  <c r="H92" i="1"/>
  <c r="I92" i="1" s="1"/>
  <c r="H93" i="1"/>
  <c r="I93" i="1" s="1"/>
  <c r="H94" i="1"/>
  <c r="I94" i="1" s="1"/>
  <c r="H95" i="1"/>
  <c r="I95" i="1" s="1"/>
  <c r="H96" i="1"/>
  <c r="I96" i="1" s="1"/>
  <c r="H97" i="1"/>
  <c r="I97" i="1" s="1"/>
  <c r="H98" i="1"/>
  <c r="I98" i="1" s="1"/>
  <c r="H99" i="1"/>
  <c r="I99" i="1" s="1"/>
  <c r="H100" i="1"/>
  <c r="I100" i="1" s="1"/>
  <c r="H101" i="1"/>
  <c r="I101" i="1" s="1"/>
  <c r="H102" i="1"/>
  <c r="I102" i="1" s="1"/>
  <c r="H103" i="1"/>
  <c r="I103" i="1" s="1"/>
  <c r="H104" i="1"/>
  <c r="I104" i="1" s="1"/>
  <c r="H105" i="1"/>
  <c r="I105" i="1" s="1"/>
  <c r="H106" i="1"/>
  <c r="I106" i="1" s="1"/>
  <c r="H107" i="1"/>
  <c r="I107" i="1" s="1"/>
  <c r="H108" i="1"/>
  <c r="I108" i="1" s="1"/>
  <c r="H109" i="1"/>
  <c r="I109" i="1" s="1"/>
  <c r="H110" i="1"/>
  <c r="I110" i="1" s="1"/>
  <c r="H111" i="1"/>
  <c r="I111" i="1" s="1"/>
  <c r="H112" i="1"/>
  <c r="I112" i="1" s="1"/>
  <c r="H113" i="1"/>
  <c r="I113" i="1" s="1"/>
  <c r="H114" i="1"/>
  <c r="I114" i="1" s="1"/>
  <c r="H115" i="1"/>
  <c r="I115" i="1" s="1"/>
  <c r="H116" i="1"/>
  <c r="I116" i="1" s="1"/>
  <c r="H117" i="1"/>
  <c r="I117" i="1" s="1"/>
  <c r="H118" i="1"/>
  <c r="I118" i="1" s="1"/>
  <c r="H119" i="1"/>
  <c r="I119" i="1" s="1"/>
  <c r="H120" i="1"/>
  <c r="I120" i="1" s="1"/>
  <c r="H121" i="1"/>
  <c r="I121" i="1" s="1"/>
  <c r="H122" i="1"/>
  <c r="I122" i="1" s="1"/>
  <c r="H123" i="1"/>
  <c r="I123" i="1" s="1"/>
  <c r="H124" i="1"/>
  <c r="I124" i="1" s="1"/>
  <c r="H125" i="1"/>
  <c r="I125" i="1" s="1"/>
  <c r="H126" i="1"/>
  <c r="I126" i="1" s="1"/>
  <c r="H127" i="1"/>
  <c r="I127" i="1" s="1"/>
  <c r="H128" i="1"/>
  <c r="I128" i="1" s="1"/>
  <c r="H129" i="1"/>
  <c r="I129" i="1" s="1"/>
  <c r="H130" i="1"/>
  <c r="I130" i="1" s="1"/>
  <c r="H131" i="1"/>
  <c r="I131" i="1" s="1"/>
  <c r="H132" i="1"/>
  <c r="I132" i="1" s="1"/>
  <c r="H133" i="1"/>
  <c r="I133" i="1" s="1"/>
  <c r="H134" i="1"/>
  <c r="I134" i="1" s="1"/>
  <c r="H135" i="1"/>
  <c r="I135" i="1" s="1"/>
  <c r="H136" i="1"/>
  <c r="I136" i="1" s="1"/>
  <c r="H137" i="1"/>
  <c r="I137" i="1" s="1"/>
  <c r="H138" i="1"/>
  <c r="I138" i="1" s="1"/>
  <c r="H139" i="1"/>
  <c r="I139" i="1" s="1"/>
  <c r="H140" i="1"/>
  <c r="I140" i="1" s="1"/>
  <c r="H141" i="1"/>
  <c r="I141" i="1" s="1"/>
  <c r="H142" i="1"/>
  <c r="I142" i="1" s="1"/>
  <c r="H143" i="1"/>
  <c r="I143" i="1" s="1"/>
  <c r="H144" i="1"/>
  <c r="I144" i="1" s="1"/>
  <c r="H145" i="1"/>
  <c r="I145" i="1" s="1"/>
  <c r="H146" i="1"/>
  <c r="I146" i="1" s="1"/>
  <c r="H147" i="1"/>
  <c r="I147" i="1" s="1"/>
  <c r="H148" i="1"/>
  <c r="I148" i="1" s="1"/>
  <c r="H149" i="1"/>
  <c r="I149" i="1" s="1"/>
  <c r="H150" i="1"/>
  <c r="I150" i="1" s="1"/>
  <c r="H151" i="1"/>
  <c r="I151" i="1" s="1"/>
  <c r="H152" i="1"/>
  <c r="I152" i="1" s="1"/>
  <c r="H153" i="1"/>
  <c r="I153" i="1" s="1"/>
  <c r="H154" i="1"/>
  <c r="I154" i="1" s="1"/>
  <c r="H155" i="1"/>
  <c r="I155" i="1" s="1"/>
  <c r="H156" i="1"/>
  <c r="I156" i="1" s="1"/>
  <c r="H157" i="1"/>
  <c r="I157" i="1" s="1"/>
  <c r="H158" i="1"/>
  <c r="I158" i="1" s="1"/>
  <c r="H159" i="1"/>
  <c r="I159" i="1" s="1"/>
  <c r="H160" i="1"/>
  <c r="I160" i="1" s="1"/>
  <c r="H161" i="1"/>
  <c r="I161" i="1" s="1"/>
  <c r="H162" i="1"/>
  <c r="I162" i="1" s="1"/>
  <c r="H163" i="1"/>
  <c r="I163" i="1" s="1"/>
  <c r="H164" i="1"/>
  <c r="I164" i="1" s="1"/>
  <c r="H165" i="1"/>
  <c r="I165" i="1" s="1"/>
  <c r="H166" i="1"/>
  <c r="I166" i="1" s="1"/>
  <c r="H167" i="1"/>
  <c r="I167" i="1" s="1"/>
  <c r="H168" i="1"/>
  <c r="I168" i="1" s="1"/>
  <c r="H169" i="1"/>
  <c r="I169" i="1" s="1"/>
  <c r="H170" i="1"/>
  <c r="I170" i="1" s="1"/>
  <c r="H171" i="1"/>
  <c r="I171" i="1" s="1"/>
  <c r="H172" i="1"/>
  <c r="I172" i="1" s="1"/>
  <c r="H173" i="1"/>
  <c r="I173" i="1" s="1"/>
  <c r="H174" i="1"/>
  <c r="I174" i="1" s="1"/>
  <c r="H175" i="1"/>
  <c r="I175" i="1" s="1"/>
  <c r="H176" i="1"/>
  <c r="I176" i="1" s="1"/>
  <c r="H177" i="1"/>
  <c r="I177" i="1" s="1"/>
  <c r="H178" i="1"/>
  <c r="I178" i="1" s="1"/>
  <c r="H179" i="1"/>
  <c r="I179" i="1" s="1"/>
  <c r="H180" i="1"/>
  <c r="I180" i="1" s="1"/>
  <c r="H181" i="1"/>
  <c r="I181" i="1" s="1"/>
  <c r="H182" i="1"/>
  <c r="I182" i="1" s="1"/>
  <c r="H183" i="1"/>
  <c r="I183" i="1" s="1"/>
  <c r="H184" i="1"/>
  <c r="I184" i="1" s="1"/>
  <c r="H185" i="1"/>
  <c r="I185" i="1" s="1"/>
  <c r="H186" i="1"/>
  <c r="I186" i="1" s="1"/>
  <c r="H187" i="1"/>
  <c r="I187" i="1" s="1"/>
  <c r="H188" i="1"/>
  <c r="I188" i="1" s="1"/>
  <c r="H189" i="1"/>
  <c r="I189" i="1" s="1"/>
  <c r="H190" i="1"/>
  <c r="I190" i="1" s="1"/>
  <c r="H191" i="1"/>
  <c r="I191" i="1" s="1"/>
  <c r="H192" i="1"/>
  <c r="I192" i="1" s="1"/>
  <c r="H193" i="1"/>
  <c r="I193" i="1" s="1"/>
  <c r="H194" i="1"/>
  <c r="I194" i="1" s="1"/>
  <c r="H195" i="1"/>
  <c r="I195" i="1" s="1"/>
  <c r="H196" i="1"/>
  <c r="I196" i="1" s="1"/>
  <c r="H197" i="1"/>
  <c r="I197" i="1" s="1"/>
  <c r="H198" i="1"/>
  <c r="I198" i="1" s="1"/>
  <c r="H199" i="1"/>
  <c r="I199" i="1" s="1"/>
  <c r="H200" i="1"/>
  <c r="I200" i="1" s="1"/>
  <c r="H201" i="1"/>
  <c r="I201" i="1" s="1"/>
  <c r="H202" i="1"/>
  <c r="I202" i="1" s="1"/>
  <c r="H203" i="1"/>
  <c r="I203" i="1" s="1"/>
  <c r="H204" i="1"/>
  <c r="I204" i="1" s="1"/>
  <c r="H205" i="1"/>
  <c r="I205" i="1" s="1"/>
  <c r="H206" i="1"/>
  <c r="I206" i="1" s="1"/>
  <c r="H207" i="1"/>
  <c r="I207" i="1" s="1"/>
  <c r="H208" i="1"/>
  <c r="I208" i="1" s="1"/>
  <c r="H209" i="1"/>
  <c r="I209" i="1" s="1"/>
  <c r="H210" i="1"/>
  <c r="I210" i="1" s="1"/>
  <c r="H211" i="1"/>
  <c r="I211" i="1" s="1"/>
  <c r="H212" i="1"/>
  <c r="I212" i="1" s="1"/>
  <c r="H213" i="1"/>
  <c r="I213" i="1" s="1"/>
  <c r="H214" i="1"/>
  <c r="I214" i="1" s="1"/>
  <c r="H215" i="1"/>
  <c r="I215" i="1" s="1"/>
  <c r="H216" i="1"/>
  <c r="I216" i="1" s="1"/>
  <c r="H217" i="1"/>
  <c r="I217" i="1" s="1"/>
  <c r="H218" i="1"/>
  <c r="I218" i="1" s="1"/>
  <c r="H219" i="1"/>
  <c r="I219" i="1" s="1"/>
  <c r="H2" i="1"/>
  <c r="I2" i="1" s="1"/>
</calcChain>
</file>

<file path=xl/sharedStrings.xml><?xml version="1.0" encoding="utf-8"?>
<sst xmlns="http://schemas.openxmlformats.org/spreadsheetml/2006/main" count="246" uniqueCount="246">
  <si>
    <t>الاسم</t>
  </si>
  <si>
    <t xml:space="preserve">محمد ابو المعاطي عبد  الغني </t>
  </si>
  <si>
    <t>احمد محمود عبد العزيز</t>
  </si>
  <si>
    <t xml:space="preserve">حنين محمد احمد العدوي </t>
  </si>
  <si>
    <t xml:space="preserve">عبد الرحمن الغالي عسران </t>
  </si>
  <si>
    <t xml:space="preserve">عبد المنعم محمود ابراهيم </t>
  </si>
  <si>
    <t>حكمت الدسوقي عبد الجواد</t>
  </si>
  <si>
    <t>صفاء شعبان عبد المقصود</t>
  </si>
  <si>
    <t>عفاف احمد مسعد</t>
  </si>
  <si>
    <t xml:space="preserve">عزيزه حسين ابراهيم </t>
  </si>
  <si>
    <t xml:space="preserve">ايمان جمعه عبد الرحمن علي </t>
  </si>
  <si>
    <t>مني مصطفي حسين محمد</t>
  </si>
  <si>
    <t>ايمن فتحي السيد</t>
  </si>
  <si>
    <t xml:space="preserve">هبه عبد الملك فؤاد  خفاجه </t>
  </si>
  <si>
    <t xml:space="preserve">هاجر سعد الدين الطربيني </t>
  </si>
  <si>
    <t>دينا فؤاد عبد الحليم</t>
  </si>
  <si>
    <t xml:space="preserve">ياسمين احمد عبد الغفار </t>
  </si>
  <si>
    <t xml:space="preserve">الهام عبد التواب علي </t>
  </si>
  <si>
    <t>ايمان الدسوقي الشحات</t>
  </si>
  <si>
    <t xml:space="preserve">هناء عطيه محمد </t>
  </si>
  <si>
    <t>عبير السيد السعيد</t>
  </si>
  <si>
    <t>اميره صلاح الدين عبد الفتاح</t>
  </si>
  <si>
    <t>ولاء عبد الرازق السعيد</t>
  </si>
  <si>
    <t>هبه السعيد عبد الفضيل محمد</t>
  </si>
  <si>
    <t xml:space="preserve">هيام عصام حسين علي </t>
  </si>
  <si>
    <t>اسماء مصطفي عبد المجيد</t>
  </si>
  <si>
    <t xml:space="preserve">نسمه الدسوقي محمد </t>
  </si>
  <si>
    <t>امل سند احمد العيسوي</t>
  </si>
  <si>
    <t xml:space="preserve">ربيع رضا عبد الغفور </t>
  </si>
  <si>
    <t>اسماء صيام السيد</t>
  </si>
  <si>
    <t xml:space="preserve">دعاء عادل عوض </t>
  </si>
  <si>
    <t>فاطمه سالم السيد عيد</t>
  </si>
  <si>
    <t>سعاد محمد عبد المنعم محمد سرور</t>
  </si>
  <si>
    <t xml:space="preserve">نيره ابراهيم عبد الغفور محمد </t>
  </si>
  <si>
    <t>جهاد الدسوقي حسن السعيد</t>
  </si>
  <si>
    <t>نشوي علي عبد الوهاب احمد</t>
  </si>
  <si>
    <t>فاطمه السيد فاروق العربي</t>
  </si>
  <si>
    <t xml:space="preserve">عبير احمد حسين </t>
  </si>
  <si>
    <t xml:space="preserve">تسنيم ضياء محمد نبيل </t>
  </si>
  <si>
    <t xml:space="preserve">نجوي محمود علي عبد الباري </t>
  </si>
  <si>
    <t>مريم عبد الناصر خليل</t>
  </si>
  <si>
    <t xml:space="preserve">رباب علاء الدين محمد فتحي </t>
  </si>
  <si>
    <t xml:space="preserve">عبير محمد عبد الخالق محمد </t>
  </si>
  <si>
    <t>مريم رضوان عباس السيد</t>
  </si>
  <si>
    <t>فاطمه صلاح الدين محمد عبد الرحيم</t>
  </si>
  <si>
    <t xml:space="preserve">عبير عبد العزيز محمود </t>
  </si>
  <si>
    <t xml:space="preserve">اسماء عبد المنعم ابراهيم محمد </t>
  </si>
  <si>
    <t xml:space="preserve">نجيبه مؤمن محمد </t>
  </si>
  <si>
    <t xml:space="preserve">ندي محمد احمد سلطان </t>
  </si>
  <si>
    <t xml:space="preserve">روضه ابراهيم اسماعيل </t>
  </si>
  <si>
    <t xml:space="preserve">دنيا عبد الحليم عبد الرحمن محمد </t>
  </si>
  <si>
    <t xml:space="preserve">سعاد محمد محمد ابو النصر </t>
  </si>
  <si>
    <t xml:space="preserve">سمر عبد الفتاح الغريب </t>
  </si>
  <si>
    <t>منار محمود عثمان عوض</t>
  </si>
  <si>
    <t xml:space="preserve">احمد علي علي عوض البنا </t>
  </si>
  <si>
    <t xml:space="preserve">يسرا محمود عثمان </t>
  </si>
  <si>
    <t>الزمر والسجدة</t>
  </si>
  <si>
    <t>ابراهيم السيد عبد الحميد حسن</t>
  </si>
  <si>
    <t>ابراهيم محمود ابراهيم صالح</t>
  </si>
  <si>
    <t>ابو الحسن محمد حسن</t>
  </si>
  <si>
    <t>احمد اشرف محمد عثمان</t>
  </si>
  <si>
    <t xml:space="preserve">اسماء مصباح محمد السيد </t>
  </si>
  <si>
    <t>الاء محمود عبد العزيز</t>
  </si>
  <si>
    <t>اميره احمد محمد السعيد</t>
  </si>
  <si>
    <t>ايمان صلاح عبد القادر محمد طه</t>
  </si>
  <si>
    <t>ايمان عزت عباس القصبي</t>
  </si>
  <si>
    <t>تسنيم السيد</t>
  </si>
  <si>
    <t xml:space="preserve">تسنيم السيد احمد </t>
  </si>
  <si>
    <t>ثريا السيد</t>
  </si>
  <si>
    <t>رحاب رمضان عبد الرحيم</t>
  </si>
  <si>
    <t>زينب السيد صالح</t>
  </si>
  <si>
    <t>ساره اشرف خليفه</t>
  </si>
  <si>
    <t>ساره رمضان عبد الرحيم</t>
  </si>
  <si>
    <t>سمر الشماوي عبد الحليم سعد</t>
  </si>
  <si>
    <t>سمر سامي سعد اسماعيل</t>
  </si>
  <si>
    <t>سهام محمد محمد ابو النصر</t>
  </si>
  <si>
    <t>سوسن السيد الصباحي</t>
  </si>
  <si>
    <t xml:space="preserve">شرين محمد محمد محمد  النادي </t>
  </si>
  <si>
    <t>شفاء وجدى محمد</t>
  </si>
  <si>
    <t>صبحي محمد شميس عبد المنعم</t>
  </si>
  <si>
    <t xml:space="preserve">عواطف امين امين حسن شتا </t>
  </si>
  <si>
    <t>لينه رضا عبد الرزاق</t>
  </si>
  <si>
    <t>محمد صالح زين العابدين</t>
  </si>
  <si>
    <t>مريم زكريا سعد السيد</t>
  </si>
  <si>
    <t xml:space="preserve">منى محمد احمد محمد </t>
  </si>
  <si>
    <t>نجلاء عبد الوكيل الصديق محمد شرف</t>
  </si>
  <si>
    <t>نسمه محمود محمد ابو زاهر</t>
  </si>
  <si>
    <t xml:space="preserve">نشوي سعد ابو الفتوح السيد </t>
  </si>
  <si>
    <t>هاجر احمد بخيت</t>
  </si>
  <si>
    <t xml:space="preserve">هبه عمران ابراهيم </t>
  </si>
  <si>
    <t>ياسمين عبد الحافظ محمد السعيد</t>
  </si>
  <si>
    <t>ايمان محمد على الدسوقي</t>
  </si>
  <si>
    <t>وفاء سعد حامد</t>
  </si>
  <si>
    <t>سماح الزين احمد عبد الواحد</t>
  </si>
  <si>
    <t>سعاد حمدى محمد كمال</t>
  </si>
  <si>
    <t>هند الصباحي محمد</t>
  </si>
  <si>
    <t>نورا رجب عبد الحكيم فرج</t>
  </si>
  <si>
    <t>سعاد سامى عبد الحليم حسن</t>
  </si>
  <si>
    <t>هاجر محمود رشاد البيومي</t>
  </si>
  <si>
    <t>ايمان محمد الشحات حسن</t>
  </si>
  <si>
    <t>نعيمه احمد عبدالوكيل عبدالقادر</t>
  </si>
  <si>
    <t>تقى ياسر مصطفى السعيد</t>
  </si>
  <si>
    <t>سماح منصور محمد على</t>
  </si>
  <si>
    <t>نرمين الحسيني على محمود</t>
  </si>
  <si>
    <t>فاتن مصطفى محمد محمود</t>
  </si>
  <si>
    <t>ندى ناجي صابر</t>
  </si>
  <si>
    <t>روان صبري السيد الشبراوي</t>
  </si>
  <si>
    <t>سمر احمد مسعد صيام</t>
  </si>
  <si>
    <t>اسماء  محمد خليل</t>
  </si>
  <si>
    <t>فاطمه محمد خليل</t>
  </si>
  <si>
    <t>سالي شبان مصطفي</t>
  </si>
  <si>
    <t>الاسراء</t>
  </si>
  <si>
    <t>النور</t>
  </si>
  <si>
    <t>يارا اشرف علي</t>
  </si>
  <si>
    <t>حسناء عماد الدين احمد</t>
  </si>
  <si>
    <t>علياء كرم قاسم</t>
  </si>
  <si>
    <t>يارا عبدالحليم محمود</t>
  </si>
  <si>
    <t>تيسير رمضان عبدالرحيم</t>
  </si>
  <si>
    <t>هدى عزب ابو الوفا</t>
  </si>
  <si>
    <t>الشيماء محمود غريب</t>
  </si>
  <si>
    <t>دعاء عماد مصطفى</t>
  </si>
  <si>
    <t>حنين احمد زين العابدين</t>
  </si>
  <si>
    <t>ندى السيد عبدالراضي</t>
  </si>
  <si>
    <t>رحاب رمضان كامل</t>
  </si>
  <si>
    <t>ياسمين عبدالعزيز كامل</t>
  </si>
  <si>
    <t>شهد سعد محمد</t>
  </si>
  <si>
    <t>هاجر ضاحي محمد</t>
  </si>
  <si>
    <t>شهد على محمود</t>
  </si>
  <si>
    <t>مريم صابر عبدالرحيم</t>
  </si>
  <si>
    <t>شيماء محمد احمد</t>
  </si>
  <si>
    <t xml:space="preserve">سمير عمرو السعيد </t>
  </si>
  <si>
    <t xml:space="preserve">علياء ياسر محمد </t>
  </si>
  <si>
    <t xml:space="preserve">هناء نعيم سرحان </t>
  </si>
  <si>
    <t xml:space="preserve">سالي توفيق شعبان </t>
  </si>
  <si>
    <t xml:space="preserve">هدير حمدي علي </t>
  </si>
  <si>
    <t xml:space="preserve">جيهان محمد البدراوي </t>
  </si>
  <si>
    <t>منار الطوخي</t>
  </si>
  <si>
    <t xml:space="preserve">سماح محمد </t>
  </si>
  <si>
    <t xml:space="preserve">راندا محمود </t>
  </si>
  <si>
    <t>منى مجدي</t>
  </si>
  <si>
    <t xml:space="preserve">جهاد علي </t>
  </si>
  <si>
    <t xml:space="preserve">زينب محمد </t>
  </si>
  <si>
    <t xml:space="preserve">مريم خليل </t>
  </si>
  <si>
    <t xml:space="preserve">سالي عبد العزيز </t>
  </si>
  <si>
    <t xml:space="preserve">نهاد محمد </t>
  </si>
  <si>
    <t xml:space="preserve">سالي طارق </t>
  </si>
  <si>
    <t xml:space="preserve">علا عبد الرحمن </t>
  </si>
  <si>
    <t xml:space="preserve">سلوى علي علي </t>
  </si>
  <si>
    <t xml:space="preserve">شهد ياسر </t>
  </si>
  <si>
    <t xml:space="preserve">مصطفى هاني </t>
  </si>
  <si>
    <t>الاحزاب</t>
  </si>
  <si>
    <t>الشيماء رافت علي محمد</t>
  </si>
  <si>
    <t>ابراهيم عبد الغفار ابراهيم عوضين</t>
  </si>
  <si>
    <t xml:space="preserve">ايمان سعد محمد </t>
  </si>
  <si>
    <t>ايمان طه على الدسوقي</t>
  </si>
  <si>
    <t>ايمان محمد محمد عبد الجليل</t>
  </si>
  <si>
    <t xml:space="preserve">ايمان محمود علي  صلاح </t>
  </si>
  <si>
    <t>ابو محمد حسن</t>
  </si>
  <si>
    <t>اسماء احمد محمد الشواف</t>
  </si>
  <si>
    <t xml:space="preserve">اسماء توكل </t>
  </si>
  <si>
    <t>اسماء حماده ابراهيم</t>
  </si>
  <si>
    <t>اسماء علي توفيق</t>
  </si>
  <si>
    <t>اماني محمود جمعه</t>
  </si>
  <si>
    <t xml:space="preserve">امل المكاوي </t>
  </si>
  <si>
    <t>امل احمد عبد اللطيف</t>
  </si>
  <si>
    <t>امل محمد اسماعيل</t>
  </si>
  <si>
    <t>حنان عبدالهادي عبدالعزيز ابو الوفى</t>
  </si>
  <si>
    <t xml:space="preserve">زينب حسن احمد </t>
  </si>
  <si>
    <t>زينب سيد ابوالعلا</t>
  </si>
  <si>
    <t>سنيه ابراهيم محمد عماد</t>
  </si>
  <si>
    <t>شيماء محمد عثمان الالفي</t>
  </si>
  <si>
    <t>عبير سعد محمد ابراهيم</t>
  </si>
  <si>
    <t xml:space="preserve">علياء اشرف </t>
  </si>
  <si>
    <t>عمر سعد ابو الفتوح احمد</t>
  </si>
  <si>
    <t xml:space="preserve">منى الزين احمد </t>
  </si>
  <si>
    <t xml:space="preserve">ندى محمد احمد </t>
  </si>
  <si>
    <t>ام احمد عبد الحافظ لبيب</t>
  </si>
  <si>
    <t>بسمه محمد السعيد محمد الفلاح</t>
  </si>
  <si>
    <t>السهام السعيد جمعه</t>
  </si>
  <si>
    <t>الهام السعيد جمعه</t>
  </si>
  <si>
    <t xml:space="preserve">امينه جلال </t>
  </si>
  <si>
    <t xml:space="preserve">ايه عبد النبي الدسوقي </t>
  </si>
  <si>
    <t xml:space="preserve">ايه منير </t>
  </si>
  <si>
    <t>بسمه ابو المعاطي عبد الغنى</t>
  </si>
  <si>
    <t>بسمه السيد فريد</t>
  </si>
  <si>
    <t>حبيبه هاني محمد</t>
  </si>
  <si>
    <t>حفصه مصطفى مصطفى</t>
  </si>
  <si>
    <t>حليمه احمد محمود</t>
  </si>
  <si>
    <t>خديجه محمد احمد</t>
  </si>
  <si>
    <t>رانيه مختار السيد ابوعضه</t>
  </si>
  <si>
    <t xml:space="preserve">رحمه اشرف </t>
  </si>
  <si>
    <t>رحمه محمود عبدالعاطي</t>
  </si>
  <si>
    <t xml:space="preserve">رشا سعد محمد  سلامه </t>
  </si>
  <si>
    <t>رقيه ضياء محمد نبيل</t>
  </si>
  <si>
    <t xml:space="preserve">ساره الالفي </t>
  </si>
  <si>
    <t>ساره رجب عبد الحكيم فرج</t>
  </si>
  <si>
    <t>ساره سامى عبد الحليم حسن</t>
  </si>
  <si>
    <t>ساره سمري عثمان</t>
  </si>
  <si>
    <t>ساميه عبد اللطيف ابو شعيشع</t>
  </si>
  <si>
    <t xml:space="preserve">سكينه السيد </t>
  </si>
  <si>
    <t>سماح على عبد الحميد جمعه</t>
  </si>
  <si>
    <t xml:space="preserve">شاديه علي </t>
  </si>
  <si>
    <t xml:space="preserve">شيماء محمد محمد سلامه </t>
  </si>
  <si>
    <t xml:space="preserve">عاليه محمود </t>
  </si>
  <si>
    <t>غاده رجب عبد الحميد محمد</t>
  </si>
  <si>
    <t>غاده محمد قنديل</t>
  </si>
  <si>
    <t>فاطمه كرم مطر</t>
  </si>
  <si>
    <t xml:space="preserve">فايزه احمد فكري </t>
  </si>
  <si>
    <t>منه الله العربي</t>
  </si>
  <si>
    <t>منه الله محمد السيد المرسي</t>
  </si>
  <si>
    <t>منه حسين مبارك</t>
  </si>
  <si>
    <t>مياده صابر مصطفى حسنين</t>
  </si>
  <si>
    <t>نبيله جمال صادق محمد</t>
  </si>
  <si>
    <t>نسمه السيد فؤاد السيد</t>
  </si>
  <si>
    <t xml:space="preserve">نوران حمزه </t>
  </si>
  <si>
    <t xml:space="preserve">نورما حمامه محمود </t>
  </si>
  <si>
    <t xml:space="preserve">هاله فؤاد عبد الحليم </t>
  </si>
  <si>
    <t xml:space="preserve">هبه الله حسن احمد </t>
  </si>
  <si>
    <t xml:space="preserve">هبه الله عبد الحافظ  محمد </t>
  </si>
  <si>
    <t xml:space="preserve">هبه عبد الحميد </t>
  </si>
  <si>
    <t>نرمين احمد احمد عوض الموجي</t>
  </si>
  <si>
    <t>متوسط النسبة</t>
  </si>
  <si>
    <t>عدد المسابقات المشارك فيها</t>
  </si>
  <si>
    <t>رقم الجلوس</t>
  </si>
  <si>
    <t>التقدير العام</t>
  </si>
  <si>
    <t>نشوى علي عبد الوهاب</t>
  </si>
  <si>
    <t>أسماء محمد السيد</t>
  </si>
  <si>
    <t xml:space="preserve">أسماء المتولي عوض </t>
  </si>
  <si>
    <t xml:space="preserve">إيمان عزت عباس </t>
  </si>
  <si>
    <t>إيمان طه علي</t>
  </si>
  <si>
    <t xml:space="preserve">منة الله محمد صالح  </t>
  </si>
  <si>
    <t xml:space="preserve">نوران إبراهيم محمد </t>
  </si>
  <si>
    <t>كريمة وفقي شفيق</t>
  </si>
  <si>
    <t xml:space="preserve">نسمة محمود محمد </t>
  </si>
  <si>
    <t>فاطمة صلاح الدين</t>
  </si>
  <si>
    <t>منى محمد فتح الله</t>
  </si>
  <si>
    <t>فاطمة بنوى عبد الله</t>
  </si>
  <si>
    <t xml:space="preserve">أماني محمد فرج </t>
  </si>
  <si>
    <t>فاطمة السيد فاروق</t>
  </si>
  <si>
    <t xml:space="preserve">إيمان محمد محمود </t>
  </si>
  <si>
    <t xml:space="preserve">إسراء يونس حسن </t>
  </si>
  <si>
    <t>مروة أحمد زين العابدين</t>
  </si>
  <si>
    <t>بسمة محمد السيد</t>
  </si>
  <si>
    <t>وردة محمد على</t>
  </si>
  <si>
    <t>محمد رأفت علي محمد</t>
  </si>
  <si>
    <t>دينا حمدي فتحى محمد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</si>
</sst>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8"/>
      <color theme="0"/>
      <name val="Baloo Bhaijaan 2 SemiBold"/>
    </font>
    <font>
      <sz val="16"/>
      <color theme="0"/>
      <name val="Baloo Bhaijaan 2 SemiBold"/>
    </font>
    <font>
      <sz val="16"/>
      <color theme="1"/>
      <name val="Baloo Bhaijaan 2 SemiBold"/>
    </font>
    <font>
      <sz val="14"/>
      <color theme="1"/>
      <name val="Baloo Bhaijaan 2 SemiBold"/>
    </font>
    <font>
      <b/>
      <sz val="8"/>
      <color theme="0"/>
      <name val="Baloo Bhaijaan 2 SemiBold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theme="1"/>
      </left>
      <right/>
      <top style="thin">
        <color theme="1"/>
      </top>
      <bottom style="thin">
        <color theme="0"/>
      </bottom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/>
    </xf>
    <xf numFmtId="2" fontId="4" fillId="0" borderId="5" xfId="0" applyNumberFormat="1" applyFont="1" applyBorder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0" fillId="6" borderId="5" xfId="0" applyFill="1" applyBorder="1"/>
    <xf numFmtId="0" fontId="3" fillId="6" borderId="5" xfId="0" applyFont="1" applyFill="1" applyBorder="1" applyAlignment="1">
      <alignment horizontal="center"/>
    </xf>
    <xf numFmtId="0" fontId="3" fillId="6" borderId="5" xfId="0" applyFont="1" applyFill="1" applyBorder="1" applyAlignment="1">
      <alignment horizontal="center" vertical="center"/>
    </xf>
    <xf numFmtId="0" fontId="3" fillId="7" borderId="5" xfId="0" applyFont="1" applyFill="1" applyBorder="1" applyAlignment="1">
      <alignment horizontal="center"/>
    </xf>
    <xf numFmtId="0" fontId="0" fillId="7" borderId="5" xfId="0" applyFill="1" applyBorder="1"/>
    <xf numFmtId="0" fontId="3" fillId="7" borderId="5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3" fillId="0" borderId="5" xfId="0" applyFont="1" applyBorder="1" applyAlignment="1">
      <alignment wrapText="1"/>
    </xf>
    <xf numFmtId="0" fontId="3" fillId="3" borderId="5" xfId="0" applyFont="1" applyFill="1" applyBorder="1" applyAlignment="1">
      <alignment horizontal="right" wrapText="1"/>
    </xf>
    <xf numFmtId="0" fontId="3" fillId="0" borderId="5" xfId="0" applyFont="1" applyBorder="1" applyAlignment="1">
      <alignment vertical="center" wrapText="1"/>
    </xf>
    <xf numFmtId="0" fontId="0" fillId="0" borderId="0" xfId="0" applyAlignment="1">
      <alignment wrapText="1"/>
    </xf>
    <xf numFmtId="0" fontId="5" fillId="2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38"/>
  <sheetViews>
    <sheetView rightToLeft="1" tabSelected="1" topLeftCell="A65" zoomScaleNormal="100" workbookViewId="0">
      <selection activeCell="B71" sqref="B71"/>
    </sheetView>
  </sheetViews>
  <sheetFormatPr defaultRowHeight="14.35" x14ac:dyDescent="0.5"/>
  <cols>
    <col min="1" max="1" width="16.52734375" bestFit="1" customWidth="1"/>
    <col min="2" max="2" width="38.76171875" style="19" customWidth="1"/>
    <col min="3" max="3" width="10.52734375" bestFit="1" customWidth="1"/>
    <col min="4" max="4" width="19.41015625" bestFit="1" customWidth="1"/>
    <col min="5" max="5" width="9.87890625" bestFit="1" customWidth="1"/>
    <col min="6" max="6" width="7.9375" bestFit="1" customWidth="1"/>
    <col min="7" max="7" width="7.9375" customWidth="1"/>
    <col min="8" max="8" width="18.87890625" bestFit="1" customWidth="1"/>
    <col min="9" max="9" width="16.64453125" bestFit="1" customWidth="1"/>
  </cols>
  <sheetData>
    <row r="1" spans="1:9" ht="44" x14ac:dyDescent="0.5">
      <c r="A1" s="1" t="s">
        <v>223</v>
      </c>
      <c r="B1" s="15" t="s">
        <v>0</v>
      </c>
      <c r="C1" s="7" t="s">
        <v>150</v>
      </c>
      <c r="D1" s="8" t="s">
        <v>56</v>
      </c>
      <c r="E1" s="7" t="s">
        <v>111</v>
      </c>
      <c r="F1" s="8" t="s">
        <v>112</v>
      </c>
      <c r="G1" s="20" t="s">
        <v>222</v>
      </c>
      <c r="H1" s="2" t="s">
        <v>221</v>
      </c>
      <c r="I1" s="6" t="s">
        <v>224</v>
      </c>
    </row>
    <row r="2" spans="1:9" ht="29" x14ac:dyDescent="1.75">
      <c r="A2" s="3">
        <v>1001</v>
      </c>
      <c r="B2" s="16" t="s">
        <v>57</v>
      </c>
      <c r="C2" s="9"/>
      <c r="D2" s="12">
        <v>83</v>
      </c>
      <c r="E2" s="10"/>
      <c r="F2" s="12">
        <v>83</v>
      </c>
      <c r="G2" s="4">
        <f>COUNT(C2:F2)</f>
        <v>2</v>
      </c>
      <c r="H2" s="5">
        <f>AVERAGEIF(C2:F2,"&gt;0")</f>
        <v>83</v>
      </c>
      <c r="I2" s="5" t="str">
        <f>IF(H2&gt;=90,"امتياز",IF(H2&gt;=80,"جيد جدا",IF(H2&gt;=70,"جيد","-")))</f>
        <v>جيد جدا</v>
      </c>
    </row>
    <row r="3" spans="1:9" ht="29" x14ac:dyDescent="1.75">
      <c r="A3" s="3">
        <v>1002</v>
      </c>
      <c r="B3" s="16" t="s">
        <v>152</v>
      </c>
      <c r="C3" s="10">
        <v>92.5</v>
      </c>
      <c r="D3" s="12"/>
      <c r="E3" s="10">
        <v>90</v>
      </c>
      <c r="F3" s="12">
        <v>97.5</v>
      </c>
      <c r="G3" s="4">
        <f>COUNT(C3:F3)</f>
        <v>3</v>
      </c>
      <c r="H3" s="5">
        <f>AVERAGEIF(C3:F3,"&gt;0")</f>
        <v>93.333333333333329</v>
      </c>
      <c r="I3" s="5" t="str">
        <f>IF(H3&gt;=90,"امتياز",IF(H3&gt;=80,"جيد جدا",IF(H3&gt;=70,"جيد","-")))</f>
        <v>امتياز</v>
      </c>
    </row>
    <row r="4" spans="1:9" ht="29" x14ac:dyDescent="1.75">
      <c r="A4" s="3">
        <v>1003</v>
      </c>
      <c r="B4" s="16" t="s">
        <v>58</v>
      </c>
      <c r="C4" s="9"/>
      <c r="D4" s="12">
        <v>94.5</v>
      </c>
      <c r="E4" s="10">
        <v>91</v>
      </c>
      <c r="F4" s="12">
        <v>94.5</v>
      </c>
      <c r="G4" s="4">
        <f>COUNT(C4:F4)</f>
        <v>3</v>
      </c>
      <c r="H4" s="5">
        <f>AVERAGEIF(C4:F4,"&gt;0")</f>
        <v>93.333333333333329</v>
      </c>
      <c r="I4" s="5" t="str">
        <f>IF(H4&gt;=90,"امتياز",IF(H4&gt;=80,"جيد جدا",IF(H4&gt;=70,"جيد","-")))</f>
        <v>امتياز</v>
      </c>
    </row>
    <row r="5" spans="1:9" ht="29" x14ac:dyDescent="1.75">
      <c r="A5" s="3">
        <v>1004</v>
      </c>
      <c r="B5" s="16" t="s">
        <v>59</v>
      </c>
      <c r="C5" s="9"/>
      <c r="D5" s="12">
        <v>100</v>
      </c>
      <c r="E5" s="10"/>
      <c r="F5" s="12"/>
      <c r="G5" s="4">
        <f>COUNT(C5:F5)</f>
        <v>1</v>
      </c>
      <c r="H5" s="5">
        <f>AVERAGEIF(C5:F5,"&gt;0")</f>
        <v>100</v>
      </c>
      <c r="I5" s="5" t="str">
        <f>IF(H5&gt;=90,"امتياز",IF(H5&gt;=80,"جيد جدا",IF(H5&gt;=70,"جيد","-")))</f>
        <v>امتياز</v>
      </c>
    </row>
    <row r="6" spans="1:9" ht="29" x14ac:dyDescent="1.75">
      <c r="A6" s="3">
        <v>1005</v>
      </c>
      <c r="B6" s="17" t="s">
        <v>157</v>
      </c>
      <c r="C6" s="9"/>
      <c r="D6" s="13"/>
      <c r="E6" s="9"/>
      <c r="F6" s="12">
        <v>100</v>
      </c>
      <c r="G6" s="4">
        <f>COUNT(C6:F6)</f>
        <v>1</v>
      </c>
      <c r="H6" s="5">
        <f>AVERAGEIF(C6:F6,"&gt;0")</f>
        <v>100</v>
      </c>
      <c r="I6" s="5" t="str">
        <f>IF(H6&gt;=90,"امتياز",IF(H6&gt;=80,"جيد جدا",IF(H6&gt;=70,"جيد","-")))</f>
        <v>امتياز</v>
      </c>
    </row>
    <row r="7" spans="1:9" ht="29" x14ac:dyDescent="1.75">
      <c r="A7" s="3">
        <v>1006</v>
      </c>
      <c r="B7" s="16" t="s">
        <v>60</v>
      </c>
      <c r="C7" s="10">
        <v>91</v>
      </c>
      <c r="D7" s="12">
        <v>99.5</v>
      </c>
      <c r="E7" s="10">
        <v>90.5</v>
      </c>
      <c r="F7" s="12">
        <v>91.5</v>
      </c>
      <c r="G7" s="4">
        <f>COUNT(C7:F7)</f>
        <v>4</v>
      </c>
      <c r="H7" s="5">
        <f>AVERAGEIF(C7:F7,"&gt;0")</f>
        <v>93.125</v>
      </c>
      <c r="I7" s="5" t="str">
        <f>IF(H7&gt;=90,"امتياز",IF(H7&gt;=80,"جيد جدا",IF(H7&gt;=70,"جيد","-")))</f>
        <v>امتياز</v>
      </c>
    </row>
    <row r="8" spans="1:9" ht="29" x14ac:dyDescent="1.75">
      <c r="A8" s="3">
        <v>1007</v>
      </c>
      <c r="B8" s="16" t="s">
        <v>54</v>
      </c>
      <c r="C8" s="10">
        <v>99</v>
      </c>
      <c r="D8" s="12"/>
      <c r="E8" s="10"/>
      <c r="F8" s="12"/>
      <c r="G8" s="4">
        <f>COUNT(C8:F8)</f>
        <v>1</v>
      </c>
      <c r="H8" s="5">
        <f>AVERAGEIF(C8:F8,"&gt;0")</f>
        <v>99</v>
      </c>
      <c r="I8" s="5" t="str">
        <f>IF(H8&gt;=90,"امتياز",IF(H8&gt;=80,"جيد جدا",IF(H8&gt;=70,"جيد","-")))</f>
        <v>امتياز</v>
      </c>
    </row>
    <row r="9" spans="1:9" ht="29" x14ac:dyDescent="1.75">
      <c r="A9" s="3">
        <v>1008</v>
      </c>
      <c r="B9" s="16" t="s">
        <v>2</v>
      </c>
      <c r="C9" s="10">
        <v>100</v>
      </c>
      <c r="D9" s="12">
        <v>99.5</v>
      </c>
      <c r="E9" s="10">
        <v>100</v>
      </c>
      <c r="F9" s="12"/>
      <c r="G9" s="4">
        <f>COUNT(C9:F9)</f>
        <v>3</v>
      </c>
      <c r="H9" s="5">
        <f>AVERAGEIF(C9:F9,"&gt;0")</f>
        <v>99.833333333333329</v>
      </c>
      <c r="I9" s="5" t="str">
        <f>IF(H9&gt;=90,"امتياز",IF(H9&gt;=80,"جيد جدا",IF(H9&gt;=70,"جيد","-")))</f>
        <v>امتياز</v>
      </c>
    </row>
    <row r="10" spans="1:9" ht="29" x14ac:dyDescent="1.75">
      <c r="A10" s="3">
        <v>1009</v>
      </c>
      <c r="B10" s="16" t="s">
        <v>108</v>
      </c>
      <c r="C10" s="9"/>
      <c r="D10" s="12">
        <v>100</v>
      </c>
      <c r="E10" s="10">
        <v>81</v>
      </c>
      <c r="F10" s="12"/>
      <c r="G10" s="4">
        <f>COUNT(C10:F10)</f>
        <v>2</v>
      </c>
      <c r="H10" s="5">
        <f>AVERAGEIF(C10:F10,"&gt;0")</f>
        <v>90.5</v>
      </c>
      <c r="I10" s="5" t="str">
        <f>IF(H10&gt;=90,"امتياز",IF(H10&gt;=80,"جيد جدا",IF(H10&gt;=70,"جيد","-")))</f>
        <v>امتياز</v>
      </c>
    </row>
    <row r="11" spans="1:9" ht="29" x14ac:dyDescent="1.75">
      <c r="A11" s="3">
        <v>1010</v>
      </c>
      <c r="B11" s="16" t="s">
        <v>158</v>
      </c>
      <c r="C11" s="10">
        <v>96</v>
      </c>
      <c r="D11" s="13"/>
      <c r="E11" s="10">
        <v>98</v>
      </c>
      <c r="F11" s="12"/>
      <c r="G11" s="4">
        <f>COUNT(C11:F11)</f>
        <v>2</v>
      </c>
      <c r="H11" s="5">
        <f>AVERAGEIF(C11:F11,"&gt;0")</f>
        <v>97</v>
      </c>
      <c r="I11" s="5" t="str">
        <f>IF(H11&gt;=90,"امتياز",IF(H11&gt;=80,"جيد جدا",IF(H11&gt;=70,"جيد","-")))</f>
        <v>امتياز</v>
      </c>
    </row>
    <row r="12" spans="1:9" ht="29" x14ac:dyDescent="1.75">
      <c r="A12" s="3">
        <v>1011</v>
      </c>
      <c r="B12" s="17" t="s">
        <v>159</v>
      </c>
      <c r="C12" s="9"/>
      <c r="D12" s="13"/>
      <c r="E12" s="9"/>
      <c r="F12" s="12">
        <v>95</v>
      </c>
      <c r="G12" s="4">
        <f>COUNT(C12:F12)</f>
        <v>1</v>
      </c>
      <c r="H12" s="5">
        <f>AVERAGEIF(C12:F12,"&gt;0")</f>
        <v>95</v>
      </c>
      <c r="I12" s="5" t="str">
        <f>IF(H12&gt;=90,"امتياز",IF(H12&gt;=80,"جيد جدا",IF(H12&gt;=70,"جيد","-")))</f>
        <v>امتياز</v>
      </c>
    </row>
    <row r="13" spans="1:9" ht="29" x14ac:dyDescent="1.75">
      <c r="A13" s="3">
        <v>1012</v>
      </c>
      <c r="B13" s="16" t="s">
        <v>160</v>
      </c>
      <c r="C13" s="10">
        <v>100</v>
      </c>
      <c r="D13" s="12">
        <v>100</v>
      </c>
      <c r="E13" s="10">
        <v>94</v>
      </c>
      <c r="F13" s="12"/>
      <c r="G13" s="4">
        <f>COUNT(C13:F13)</f>
        <v>3</v>
      </c>
      <c r="H13" s="5">
        <f>AVERAGEIF(C13:F13,"&gt;0")</f>
        <v>98</v>
      </c>
      <c r="I13" s="5" t="str">
        <f>IF(H13&gt;=90,"امتياز",IF(H13&gt;=80,"جيد جدا",IF(H13&gt;=70,"جيد","-")))</f>
        <v>امتياز</v>
      </c>
    </row>
    <row r="14" spans="1:9" ht="29" x14ac:dyDescent="1.75">
      <c r="A14" s="3">
        <v>1013</v>
      </c>
      <c r="B14" s="16" t="s">
        <v>29</v>
      </c>
      <c r="C14" s="10">
        <v>69</v>
      </c>
      <c r="D14" s="12"/>
      <c r="E14" s="10"/>
      <c r="F14" s="12"/>
      <c r="G14" s="4">
        <f>COUNT(C14:F14)</f>
        <v>1</v>
      </c>
      <c r="H14" s="5">
        <f>AVERAGEIF(C14:F14,"&gt;0")</f>
        <v>69</v>
      </c>
      <c r="I14" s="5" t="str">
        <f>IF(H14&gt;=90,"امتياز",IF(H14&gt;=80,"جيد جدا",IF(H14&gt;=70,"جيد","-")))</f>
        <v>-</v>
      </c>
    </row>
    <row r="15" spans="1:9" ht="29" x14ac:dyDescent="1.75">
      <c r="A15" s="3">
        <v>1014</v>
      </c>
      <c r="B15" s="16" t="s">
        <v>46</v>
      </c>
      <c r="C15" s="10">
        <v>88</v>
      </c>
      <c r="D15" s="12">
        <v>95</v>
      </c>
      <c r="E15" s="9"/>
      <c r="F15" s="12">
        <v>95</v>
      </c>
      <c r="G15" s="4">
        <f>COUNT(C15:F15)</f>
        <v>3</v>
      </c>
      <c r="H15" s="5">
        <f>AVERAGEIF(C15:F15,"&gt;0")</f>
        <v>92.666666666666671</v>
      </c>
      <c r="I15" s="5" t="str">
        <f>IF(H15&gt;=90,"امتياز",IF(H15&gt;=80,"جيد جدا",IF(H15&gt;=70,"جيد","-")))</f>
        <v>امتياز</v>
      </c>
    </row>
    <row r="16" spans="1:9" ht="29" x14ac:dyDescent="1.75">
      <c r="A16" s="3">
        <v>1015</v>
      </c>
      <c r="B16" s="17" t="s">
        <v>161</v>
      </c>
      <c r="C16" s="9"/>
      <c r="D16" s="13"/>
      <c r="E16" s="9"/>
      <c r="F16" s="12">
        <v>98.5</v>
      </c>
      <c r="G16" s="4">
        <f>COUNT(C16:F16)</f>
        <v>1</v>
      </c>
      <c r="H16" s="5">
        <f>AVERAGEIF(C16:F16,"&gt;0")</f>
        <v>98.5</v>
      </c>
      <c r="I16" s="5" t="str">
        <f>IF(H16&gt;=90,"امتياز",IF(H16&gt;=80,"جيد جدا",IF(H16&gt;=70,"جيد","-")))</f>
        <v>امتياز</v>
      </c>
    </row>
    <row r="17" spans="1:9" ht="29" x14ac:dyDescent="1.75">
      <c r="A17" s="3">
        <v>1016</v>
      </c>
      <c r="B17" s="16" t="s">
        <v>61</v>
      </c>
      <c r="C17" s="10">
        <v>82.5</v>
      </c>
      <c r="D17" s="12">
        <v>92</v>
      </c>
      <c r="E17" s="10">
        <v>93.5</v>
      </c>
      <c r="F17" s="12">
        <v>93.5</v>
      </c>
      <c r="G17" s="4">
        <f>COUNT(C17:F17)</f>
        <v>4</v>
      </c>
      <c r="H17" s="5">
        <f>AVERAGEIF(C17:F17,"&gt;0")</f>
        <v>90.375</v>
      </c>
      <c r="I17" s="5" t="str">
        <f>IF(H17&gt;=90,"امتياز",IF(H17&gt;=80,"جيد جدا",IF(H17&gt;=70,"جيد","-")))</f>
        <v>امتياز</v>
      </c>
    </row>
    <row r="18" spans="1:9" ht="29" x14ac:dyDescent="1.75">
      <c r="A18" s="3">
        <v>1017</v>
      </c>
      <c r="B18" s="16" t="s">
        <v>25</v>
      </c>
      <c r="C18" s="10">
        <v>81.5</v>
      </c>
      <c r="D18" s="12"/>
      <c r="E18" s="10"/>
      <c r="F18" s="12"/>
      <c r="G18" s="4">
        <f>COUNT(C18:F18)</f>
        <v>1</v>
      </c>
      <c r="H18" s="5">
        <f>AVERAGEIF(C18:F18,"&gt;0")</f>
        <v>81.5</v>
      </c>
      <c r="I18" s="5" t="str">
        <f>IF(H18&gt;=90,"امتياز",IF(H18&gt;=80,"جيد جدا",IF(H18&gt;=70,"جيد","-")))</f>
        <v>جيد جدا</v>
      </c>
    </row>
    <row r="19" spans="1:9" ht="29" x14ac:dyDescent="1.75">
      <c r="A19" s="3">
        <v>1018</v>
      </c>
      <c r="B19" s="16" t="s">
        <v>62</v>
      </c>
      <c r="C19" s="10">
        <v>100</v>
      </c>
      <c r="D19" s="12">
        <v>98</v>
      </c>
      <c r="E19" s="10">
        <v>98</v>
      </c>
      <c r="F19" s="12"/>
      <c r="G19" s="4">
        <f>COUNT(C19:F19)</f>
        <v>3</v>
      </c>
      <c r="H19" s="5">
        <f>AVERAGEIF(C19:F19,"&gt;0")</f>
        <v>98.666666666666671</v>
      </c>
      <c r="I19" s="5" t="str">
        <f>IF(H19&gt;=90,"امتياز",IF(H19&gt;=80,"جيد جدا",IF(H19&gt;=70,"جيد","-")))</f>
        <v>امتياز</v>
      </c>
    </row>
    <row r="20" spans="1:9" ht="29" x14ac:dyDescent="1.75">
      <c r="A20" s="3">
        <v>1019</v>
      </c>
      <c r="B20" s="16" t="s">
        <v>178</v>
      </c>
      <c r="C20" s="9"/>
      <c r="D20" s="12">
        <v>100</v>
      </c>
      <c r="E20" s="10"/>
      <c r="F20" s="12"/>
      <c r="G20" s="4">
        <f>COUNT(C20:F20)</f>
        <v>1</v>
      </c>
      <c r="H20" s="5">
        <f>AVERAGEIF(C20:F20,"&gt;0")</f>
        <v>100</v>
      </c>
      <c r="I20" s="5" t="str">
        <f>IF(H20&gt;=90,"امتياز",IF(H20&gt;=80,"جيد جدا",IF(H20&gt;=70,"جيد","-")))</f>
        <v>امتياز</v>
      </c>
    </row>
    <row r="21" spans="1:9" ht="29" x14ac:dyDescent="1.75">
      <c r="A21" s="3">
        <v>1020</v>
      </c>
      <c r="B21" s="16" t="s">
        <v>151</v>
      </c>
      <c r="C21" s="10">
        <v>95.5</v>
      </c>
      <c r="D21" s="12">
        <v>94</v>
      </c>
      <c r="E21" s="10">
        <v>91.5</v>
      </c>
      <c r="F21" s="12">
        <v>94.5</v>
      </c>
      <c r="G21" s="4">
        <f>COUNT(C21:F21)</f>
        <v>4</v>
      </c>
      <c r="H21" s="5">
        <f>AVERAGEIF(C21:F21,"&gt;0")</f>
        <v>93.875</v>
      </c>
      <c r="I21" s="5" t="str">
        <f>IF(H21&gt;=90,"امتياز",IF(H21&gt;=80,"جيد جدا",IF(H21&gt;=70,"جيد","-")))</f>
        <v>امتياز</v>
      </c>
    </row>
    <row r="22" spans="1:9" ht="29" x14ac:dyDescent="1.75">
      <c r="A22" s="3">
        <v>1021</v>
      </c>
      <c r="B22" s="17" t="s">
        <v>119</v>
      </c>
      <c r="C22" s="9"/>
      <c r="D22" s="13"/>
      <c r="E22" s="9"/>
      <c r="F22" s="12">
        <v>76</v>
      </c>
      <c r="G22" s="4">
        <f>COUNT(C22:F22)</f>
        <v>1</v>
      </c>
      <c r="H22" s="5">
        <f>AVERAGEIF(C22:F22,"&gt;0")</f>
        <v>76</v>
      </c>
      <c r="I22" s="5" t="str">
        <f>IF(H22&gt;=90,"امتياز",IF(H22&gt;=80,"جيد جدا",IF(H22&gt;=70,"جيد","-")))</f>
        <v>جيد</v>
      </c>
    </row>
    <row r="23" spans="1:9" ht="29" x14ac:dyDescent="1.75">
      <c r="A23" s="3">
        <v>1022</v>
      </c>
      <c r="B23" s="16" t="s">
        <v>179</v>
      </c>
      <c r="C23" s="10">
        <v>100</v>
      </c>
      <c r="D23" s="13"/>
      <c r="E23" s="10">
        <v>100</v>
      </c>
      <c r="F23" s="12"/>
      <c r="G23" s="4">
        <f>COUNT(C23:F23)</f>
        <v>2</v>
      </c>
      <c r="H23" s="5">
        <f>AVERAGEIF(C23:F23,"&gt;0")</f>
        <v>100</v>
      </c>
      <c r="I23" s="5" t="str">
        <f>IF(H23&gt;=90,"امتياز",IF(H23&gt;=80,"جيد جدا",IF(H23&gt;=70,"جيد","-")))</f>
        <v>امتياز</v>
      </c>
    </row>
    <row r="24" spans="1:9" ht="29" x14ac:dyDescent="1.75">
      <c r="A24" s="3">
        <v>1023</v>
      </c>
      <c r="B24" s="16" t="s">
        <v>17</v>
      </c>
      <c r="C24" s="10">
        <v>81</v>
      </c>
      <c r="D24" s="12"/>
      <c r="E24" s="10"/>
      <c r="F24" s="12"/>
      <c r="G24" s="4">
        <f>COUNT(C24:F24)</f>
        <v>1</v>
      </c>
      <c r="H24" s="5">
        <f>AVERAGEIF(C24:F24,"&gt;0")</f>
        <v>81</v>
      </c>
      <c r="I24" s="5" t="str">
        <f>IF(H24&gt;=90,"امتياز",IF(H24&gt;=80,"جيد جدا",IF(H24&gt;=70,"جيد","-")))</f>
        <v>جيد جدا</v>
      </c>
    </row>
    <row r="25" spans="1:9" ht="29" x14ac:dyDescent="1.75">
      <c r="A25" s="3">
        <v>1024</v>
      </c>
      <c r="B25" s="16" t="s">
        <v>176</v>
      </c>
      <c r="C25" s="10">
        <v>51</v>
      </c>
      <c r="D25" s="12">
        <v>88</v>
      </c>
      <c r="E25" s="10">
        <v>74.5</v>
      </c>
      <c r="F25" s="12">
        <v>74</v>
      </c>
      <c r="G25" s="4">
        <f>COUNT(C25:F25)</f>
        <v>4</v>
      </c>
      <c r="H25" s="5">
        <f>AVERAGEIF(C25:F25,"&gt;0")</f>
        <v>71.875</v>
      </c>
      <c r="I25" s="5" t="str">
        <f>IF(H25&gt;=90,"امتياز",IF(H25&gt;=80,"جيد جدا",IF(H25&gt;=70,"جيد","-")))</f>
        <v>جيد</v>
      </c>
    </row>
    <row r="26" spans="1:9" ht="29" x14ac:dyDescent="1.75">
      <c r="A26" s="3">
        <v>1025</v>
      </c>
      <c r="B26" s="17" t="s">
        <v>162</v>
      </c>
      <c r="C26" s="9"/>
      <c r="D26" s="12">
        <v>98</v>
      </c>
      <c r="E26" s="9"/>
      <c r="F26" s="12">
        <v>97</v>
      </c>
      <c r="G26" s="4">
        <f>COUNT(C26:F26)</f>
        <v>2</v>
      </c>
      <c r="H26" s="5">
        <f>AVERAGEIF(C26:F26,"&gt;0")</f>
        <v>97.5</v>
      </c>
      <c r="I26" s="5" t="str">
        <f>IF(H26&gt;=90,"امتياز",IF(H26&gt;=80,"جيد جدا",IF(H26&gt;=70,"جيد","-")))</f>
        <v>امتياز</v>
      </c>
    </row>
    <row r="27" spans="1:9" ht="29" x14ac:dyDescent="1.75">
      <c r="A27" s="3">
        <v>1026</v>
      </c>
      <c r="B27" s="17" t="s">
        <v>164</v>
      </c>
      <c r="C27" s="10">
        <v>91</v>
      </c>
      <c r="D27" s="13"/>
      <c r="E27" s="9"/>
      <c r="F27" s="12">
        <v>89.5</v>
      </c>
      <c r="G27" s="4">
        <f>COUNT(C27:F27)</f>
        <v>2</v>
      </c>
      <c r="H27" s="5">
        <f>AVERAGEIF(C27:F27,"&gt;0")</f>
        <v>90.25</v>
      </c>
      <c r="I27" s="5" t="str">
        <f>IF(H27&gt;=90,"امتياز",IF(H27&gt;=80,"جيد جدا",IF(H27&gt;=70,"جيد","-")))</f>
        <v>امتياز</v>
      </c>
    </row>
    <row r="28" spans="1:9" ht="29" x14ac:dyDescent="1.75">
      <c r="A28" s="3">
        <v>1027</v>
      </c>
      <c r="B28" s="17" t="s">
        <v>163</v>
      </c>
      <c r="C28" s="9"/>
      <c r="D28" s="13"/>
      <c r="E28" s="9"/>
      <c r="F28" s="12">
        <v>95</v>
      </c>
      <c r="G28" s="4">
        <f>COUNT(C28:F28)</f>
        <v>1</v>
      </c>
      <c r="H28" s="5">
        <f>AVERAGEIF(C28:F28,"&gt;0")</f>
        <v>95</v>
      </c>
      <c r="I28" s="5" t="str">
        <f>IF(H28&gt;=90,"امتياز",IF(H28&gt;=80,"جيد جدا",IF(H28&gt;=70,"جيد","-")))</f>
        <v>امتياز</v>
      </c>
    </row>
    <row r="29" spans="1:9" ht="29" x14ac:dyDescent="1.75">
      <c r="A29" s="3">
        <v>1028</v>
      </c>
      <c r="B29" s="16" t="s">
        <v>27</v>
      </c>
      <c r="C29" s="10">
        <v>71.5</v>
      </c>
      <c r="D29" s="12"/>
      <c r="E29" s="10"/>
      <c r="F29" s="12"/>
      <c r="G29" s="4">
        <f>COUNT(C29:F29)</f>
        <v>1</v>
      </c>
      <c r="H29" s="5">
        <f>AVERAGEIF(C29:F29,"&gt;0")</f>
        <v>71.5</v>
      </c>
      <c r="I29" s="5" t="str">
        <f>IF(H29&gt;=90,"امتياز",IF(H29&gt;=80,"جيد جدا",IF(H29&gt;=70,"جيد","-")))</f>
        <v>جيد</v>
      </c>
    </row>
    <row r="30" spans="1:9" ht="29" x14ac:dyDescent="1.75">
      <c r="A30" s="3">
        <v>1029</v>
      </c>
      <c r="B30" s="17" t="s">
        <v>165</v>
      </c>
      <c r="C30" s="10">
        <v>84.5</v>
      </c>
      <c r="D30" s="13"/>
      <c r="E30" s="9"/>
      <c r="F30" s="12">
        <v>88</v>
      </c>
      <c r="G30" s="4">
        <f>COUNT(C30:F30)</f>
        <v>2</v>
      </c>
      <c r="H30" s="5">
        <f>AVERAGEIF(C30:F30,"&gt;0")</f>
        <v>86.25</v>
      </c>
      <c r="I30" s="5" t="str">
        <f>IF(H30&gt;=90,"امتياز",IF(H30&gt;=80,"جيد جدا",IF(H30&gt;=70,"جيد","-")))</f>
        <v>جيد جدا</v>
      </c>
    </row>
    <row r="31" spans="1:9" ht="29" x14ac:dyDescent="1.75">
      <c r="A31" s="3">
        <v>1030</v>
      </c>
      <c r="B31" s="16" t="s">
        <v>63</v>
      </c>
      <c r="C31" s="10">
        <v>98</v>
      </c>
      <c r="D31" s="12">
        <v>100</v>
      </c>
      <c r="E31" s="10">
        <v>98</v>
      </c>
      <c r="F31" s="12"/>
      <c r="G31" s="4">
        <f>COUNT(C31:F31)</f>
        <v>3</v>
      </c>
      <c r="H31" s="5">
        <f>AVERAGEIF(C31:F31,"&gt;0")</f>
        <v>98.666666666666671</v>
      </c>
      <c r="I31" s="5" t="str">
        <f>IF(H31&gt;=90,"امتياز",IF(H31&gt;=80,"جيد جدا",IF(H31&gt;=70,"جيد","-")))</f>
        <v>امتياز</v>
      </c>
    </row>
    <row r="32" spans="1:9" ht="29" x14ac:dyDescent="1.75">
      <c r="A32" s="3">
        <v>1031</v>
      </c>
      <c r="B32" s="16" t="s">
        <v>21</v>
      </c>
      <c r="C32" s="10">
        <v>64.5</v>
      </c>
      <c r="D32" s="12"/>
      <c r="E32" s="10"/>
      <c r="F32" s="12">
        <v>64</v>
      </c>
      <c r="G32" s="4">
        <f>COUNT(C32:F32)</f>
        <v>2</v>
      </c>
      <c r="H32" s="5">
        <f>AVERAGEIF(C32:F32,"&gt;0")</f>
        <v>64.25</v>
      </c>
      <c r="I32" s="5" t="str">
        <f>IF(H32&gt;=90,"امتياز",IF(H32&gt;=80,"جيد جدا",IF(H32&gt;=70,"جيد","-")))</f>
        <v>-</v>
      </c>
    </row>
    <row r="33" spans="1:9" ht="29" x14ac:dyDescent="1.75">
      <c r="A33" s="3">
        <v>1032</v>
      </c>
      <c r="B33" s="17" t="s">
        <v>180</v>
      </c>
      <c r="C33" s="9"/>
      <c r="D33" s="13"/>
      <c r="E33" s="9"/>
      <c r="F33" s="12">
        <v>94</v>
      </c>
      <c r="G33" s="4">
        <f>COUNT(C33:F33)</f>
        <v>1</v>
      </c>
      <c r="H33" s="5">
        <f>AVERAGEIF(C33:F33,"&gt;0")</f>
        <v>94</v>
      </c>
      <c r="I33" s="5" t="str">
        <f>IF(H33&gt;=90,"امتياز",IF(H33&gt;=80,"جيد جدا",IF(H33&gt;=70,"جيد","-")))</f>
        <v>امتياز</v>
      </c>
    </row>
    <row r="34" spans="1:9" ht="29" x14ac:dyDescent="1.75">
      <c r="A34" s="3">
        <v>1033</v>
      </c>
      <c r="B34" s="16" t="s">
        <v>18</v>
      </c>
      <c r="C34" s="10">
        <v>80</v>
      </c>
      <c r="D34" s="12"/>
      <c r="E34" s="10"/>
      <c r="F34" s="12"/>
      <c r="G34" s="4">
        <f>COUNT(C34:F34)</f>
        <v>1</v>
      </c>
      <c r="H34" s="5">
        <f>AVERAGEIF(C34:F34,"&gt;0")</f>
        <v>80</v>
      </c>
      <c r="I34" s="5" t="str">
        <f>IF(H34&gt;=90,"امتياز",IF(H34&gt;=80,"جيد جدا",IF(H34&gt;=70,"جيد","-")))</f>
        <v>جيد جدا</v>
      </c>
    </row>
    <row r="35" spans="1:9" ht="29" x14ac:dyDescent="1.75">
      <c r="A35" s="3">
        <v>1034</v>
      </c>
      <c r="B35" s="16" t="s">
        <v>10</v>
      </c>
      <c r="C35" s="10">
        <v>68.5</v>
      </c>
      <c r="D35" s="14">
        <v>72</v>
      </c>
      <c r="E35" s="10">
        <v>74</v>
      </c>
      <c r="F35" s="14"/>
      <c r="G35" s="4">
        <f>COUNT(C35:F35)</f>
        <v>3</v>
      </c>
      <c r="H35" s="5">
        <f>AVERAGEIF(C35:F35,"&gt;0")</f>
        <v>71.5</v>
      </c>
      <c r="I35" s="5" t="str">
        <f>IF(H35&gt;=90,"امتياز",IF(H35&gt;=80,"جيد جدا",IF(H35&gt;=70,"جيد","-")))</f>
        <v>جيد</v>
      </c>
    </row>
    <row r="36" spans="1:9" ht="29" x14ac:dyDescent="1.75">
      <c r="A36" s="3">
        <v>1035</v>
      </c>
      <c r="B36" s="17" t="s">
        <v>153</v>
      </c>
      <c r="C36" s="9"/>
      <c r="D36" s="13"/>
      <c r="E36" s="9"/>
      <c r="F36" s="12">
        <v>56</v>
      </c>
      <c r="G36" s="4">
        <f>COUNT(C36:F36)</f>
        <v>1</v>
      </c>
      <c r="H36" s="5">
        <f>AVERAGEIF(C36:F36,"&gt;0")</f>
        <v>56</v>
      </c>
      <c r="I36" s="5" t="str">
        <f>IF(H36&gt;=90,"امتياز",IF(H36&gt;=80,"جيد جدا",IF(H36&gt;=70,"جيد","-")))</f>
        <v>-</v>
      </c>
    </row>
    <row r="37" spans="1:9" ht="29" x14ac:dyDescent="1.75">
      <c r="A37" s="3">
        <v>1036</v>
      </c>
      <c r="B37" s="16" t="s">
        <v>64</v>
      </c>
      <c r="C37" s="10">
        <v>100</v>
      </c>
      <c r="D37" s="12">
        <v>100</v>
      </c>
      <c r="E37" s="10">
        <v>100</v>
      </c>
      <c r="F37" s="12"/>
      <c r="G37" s="4">
        <f>COUNT(C37:F37)</f>
        <v>3</v>
      </c>
      <c r="H37" s="5">
        <f>AVERAGEIF(C37:F37,"&gt;0")</f>
        <v>100</v>
      </c>
      <c r="I37" s="5" t="str">
        <f>IF(H37&gt;=90,"امتياز",IF(H37&gt;=80,"جيد جدا",IF(H37&gt;=70,"جيد","-")))</f>
        <v>امتياز</v>
      </c>
    </row>
    <row r="38" spans="1:9" ht="29" x14ac:dyDescent="1.75">
      <c r="A38" s="3">
        <v>1037</v>
      </c>
      <c r="B38" s="16" t="s">
        <v>154</v>
      </c>
      <c r="C38" s="10">
        <v>85</v>
      </c>
      <c r="D38" s="12">
        <v>96</v>
      </c>
      <c r="E38" s="10">
        <v>92</v>
      </c>
      <c r="F38" s="12"/>
      <c r="G38" s="4">
        <f>COUNT(C38:F38)</f>
        <v>3</v>
      </c>
      <c r="H38" s="5">
        <f>AVERAGEIF(C38:F38,"&gt;0")</f>
        <v>91</v>
      </c>
      <c r="I38" s="5" t="str">
        <f>IF(H38&gt;=90,"امتياز",IF(H38&gt;=80,"جيد جدا",IF(H38&gt;=70,"جيد","-")))</f>
        <v>امتياز</v>
      </c>
    </row>
    <row r="39" spans="1:9" ht="29" x14ac:dyDescent="1.75">
      <c r="A39" s="3">
        <v>1038</v>
      </c>
      <c r="B39" s="16" t="s">
        <v>65</v>
      </c>
      <c r="C39" s="10">
        <v>96</v>
      </c>
      <c r="D39" s="12">
        <v>97</v>
      </c>
      <c r="E39" s="10">
        <v>94</v>
      </c>
      <c r="F39" s="12"/>
      <c r="G39" s="4">
        <f>COUNT(C39:F39)</f>
        <v>3</v>
      </c>
      <c r="H39" s="5">
        <f>AVERAGEIF(C39:F39,"&gt;0")</f>
        <v>95.666666666666671</v>
      </c>
      <c r="I39" s="5" t="str">
        <f>IF(H39&gt;=90,"امتياز",IF(H39&gt;=80,"جيد جدا",IF(H39&gt;=70,"جيد","-")))</f>
        <v>امتياز</v>
      </c>
    </row>
    <row r="40" spans="1:9" ht="29" x14ac:dyDescent="1.75">
      <c r="A40" s="3">
        <v>1039</v>
      </c>
      <c r="B40" s="16" t="s">
        <v>99</v>
      </c>
      <c r="C40" s="10">
        <v>99</v>
      </c>
      <c r="D40" s="12">
        <v>98.5</v>
      </c>
      <c r="E40" s="10">
        <v>97</v>
      </c>
      <c r="F40" s="12">
        <v>98.5</v>
      </c>
      <c r="G40" s="4">
        <f>COUNT(C40:F40)</f>
        <v>4</v>
      </c>
      <c r="H40" s="5">
        <f>AVERAGEIF(C40:F40,"&gt;0")</f>
        <v>98.25</v>
      </c>
      <c r="I40" s="5" t="str">
        <f>IF(H40&gt;=90,"امتياز",IF(H40&gt;=80,"جيد جدا",IF(H40&gt;=70,"جيد","-")))</f>
        <v>امتياز</v>
      </c>
    </row>
    <row r="41" spans="1:9" ht="29" x14ac:dyDescent="1.75">
      <c r="A41" s="3">
        <v>1040</v>
      </c>
      <c r="B41" s="16" t="s">
        <v>91</v>
      </c>
      <c r="C41" s="10">
        <v>91</v>
      </c>
      <c r="D41" s="12">
        <v>95</v>
      </c>
      <c r="E41" s="10">
        <v>87.5</v>
      </c>
      <c r="F41" s="12">
        <v>92.5</v>
      </c>
      <c r="G41" s="4">
        <f>COUNT(C41:F41)</f>
        <v>4</v>
      </c>
      <c r="H41" s="5">
        <f>AVERAGEIF(C41:F41,"&gt;0")</f>
        <v>91.5</v>
      </c>
      <c r="I41" s="5" t="str">
        <f>IF(H41&gt;=90,"امتياز",IF(H41&gt;=80,"جيد جدا",IF(H41&gt;=70,"جيد","-")))</f>
        <v>امتياز</v>
      </c>
    </row>
    <row r="42" spans="1:9" ht="29" x14ac:dyDescent="1.75">
      <c r="A42" s="3">
        <v>1041</v>
      </c>
      <c r="B42" s="16" t="s">
        <v>155</v>
      </c>
      <c r="C42" s="10">
        <v>95</v>
      </c>
      <c r="D42" s="13"/>
      <c r="E42" s="10">
        <v>89</v>
      </c>
      <c r="F42" s="12"/>
      <c r="G42" s="4">
        <f>COUNT(C42:F42)</f>
        <v>2</v>
      </c>
      <c r="H42" s="5">
        <f>AVERAGEIF(C42:F42,"&gt;0")</f>
        <v>92</v>
      </c>
      <c r="I42" s="5" t="str">
        <f>IF(H42&gt;=90,"امتياز",IF(H42&gt;=80,"جيد جدا",IF(H42&gt;=70,"جيد","-")))</f>
        <v>امتياز</v>
      </c>
    </row>
    <row r="43" spans="1:9" ht="29" x14ac:dyDescent="1.75">
      <c r="A43" s="3">
        <v>1042</v>
      </c>
      <c r="B43" s="17" t="s">
        <v>156</v>
      </c>
      <c r="C43" s="10">
        <v>91.5</v>
      </c>
      <c r="D43" s="12"/>
      <c r="E43" s="10"/>
      <c r="F43" s="12">
        <v>81.5</v>
      </c>
      <c r="G43" s="4">
        <f>COUNT(C43:F43)</f>
        <v>2</v>
      </c>
      <c r="H43" s="5">
        <f>AVERAGEIF(C43:F43,"&gt;0")</f>
        <v>86.5</v>
      </c>
      <c r="I43" s="5" t="str">
        <f>IF(H43&gt;=90,"امتياز",IF(H43&gt;=80,"جيد جدا",IF(H43&gt;=70,"جيد","-")))</f>
        <v>جيد جدا</v>
      </c>
    </row>
    <row r="44" spans="1:9" ht="29" x14ac:dyDescent="1.75">
      <c r="A44" s="3">
        <v>1043</v>
      </c>
      <c r="B44" s="16" t="s">
        <v>12</v>
      </c>
      <c r="C44" s="10">
        <v>94.5</v>
      </c>
      <c r="D44" s="13"/>
      <c r="E44" s="10">
        <v>82</v>
      </c>
      <c r="F44" s="12">
        <v>95</v>
      </c>
      <c r="G44" s="4">
        <f>COUNT(C44:F44)</f>
        <v>3</v>
      </c>
      <c r="H44" s="5">
        <f>AVERAGEIF(C44:F44,"&gt;0")</f>
        <v>90.5</v>
      </c>
      <c r="I44" s="5" t="str">
        <f>IF(H44&gt;=90,"امتياز",IF(H44&gt;=80,"جيد جدا",IF(H44&gt;=70,"جيد","-")))</f>
        <v>امتياز</v>
      </c>
    </row>
    <row r="45" spans="1:9" ht="29" x14ac:dyDescent="1.75">
      <c r="A45" s="3">
        <v>1044</v>
      </c>
      <c r="B45" s="17" t="s">
        <v>181</v>
      </c>
      <c r="C45" s="9"/>
      <c r="D45" s="13"/>
      <c r="E45" s="9"/>
      <c r="F45" s="12">
        <v>67.5</v>
      </c>
      <c r="G45" s="4">
        <f>COUNT(C45:F45)</f>
        <v>1</v>
      </c>
      <c r="H45" s="5">
        <f>AVERAGEIF(C45:F45,"&gt;0")</f>
        <v>67.5</v>
      </c>
      <c r="I45" s="5" t="str">
        <f>IF(H45&gt;=90,"امتياز",IF(H45&gt;=80,"جيد جدا",IF(H45&gt;=70,"جيد","-")))</f>
        <v>-</v>
      </c>
    </row>
    <row r="46" spans="1:9" ht="29" x14ac:dyDescent="1.75">
      <c r="A46" s="3">
        <v>1045</v>
      </c>
      <c r="B46" s="17" t="s">
        <v>182</v>
      </c>
      <c r="C46" s="9"/>
      <c r="D46" s="13"/>
      <c r="E46" s="9"/>
      <c r="F46" s="12">
        <v>69</v>
      </c>
      <c r="G46" s="4">
        <f>COUNT(C46:F46)</f>
        <v>1</v>
      </c>
      <c r="H46" s="5">
        <f>AVERAGEIF(C46:F46,"&gt;0")</f>
        <v>69</v>
      </c>
      <c r="I46" s="5" t="str">
        <f>IF(H46&gt;=90,"امتياز",IF(H46&gt;=80,"جيد جدا",IF(H46&gt;=70,"جيد","-")))</f>
        <v>-</v>
      </c>
    </row>
    <row r="47" spans="1:9" ht="29" x14ac:dyDescent="1.75">
      <c r="A47" s="3">
        <v>1046</v>
      </c>
      <c r="B47" s="16" t="s">
        <v>183</v>
      </c>
      <c r="C47" s="10">
        <v>95</v>
      </c>
      <c r="D47" s="12">
        <v>93</v>
      </c>
      <c r="E47" s="10">
        <v>92</v>
      </c>
      <c r="F47" s="12"/>
      <c r="G47" s="4">
        <f>COUNT(C47:F47)</f>
        <v>3</v>
      </c>
      <c r="H47" s="5">
        <f>AVERAGEIF(C47:F47,"&gt;0")</f>
        <v>93.333333333333329</v>
      </c>
      <c r="I47" s="5" t="str">
        <f>IF(H47&gt;=90,"امتياز",IF(H47&gt;=80,"جيد جدا",IF(H47&gt;=70,"جيد","-")))</f>
        <v>امتياز</v>
      </c>
    </row>
    <row r="48" spans="1:9" ht="29" x14ac:dyDescent="1.75">
      <c r="A48" s="3">
        <v>1047</v>
      </c>
      <c r="B48" s="16" t="s">
        <v>184</v>
      </c>
      <c r="C48" s="9"/>
      <c r="D48" s="12">
        <v>95</v>
      </c>
      <c r="E48" s="10">
        <v>98.5</v>
      </c>
      <c r="F48" s="12">
        <v>93</v>
      </c>
      <c r="G48" s="4">
        <f>COUNT(C48:F48)</f>
        <v>3</v>
      </c>
      <c r="H48" s="5">
        <f>AVERAGEIF(C48:F48,"&gt;0")</f>
        <v>95.5</v>
      </c>
      <c r="I48" s="5" t="str">
        <f>IF(H48&gt;=90,"امتياز",IF(H48&gt;=80,"جيد جدا",IF(H48&gt;=70,"جيد","-")))</f>
        <v>امتياز</v>
      </c>
    </row>
    <row r="49" spans="1:9" ht="29" x14ac:dyDescent="1.75">
      <c r="A49" s="3">
        <v>1048</v>
      </c>
      <c r="B49" s="16" t="s">
        <v>177</v>
      </c>
      <c r="C49" s="10">
        <v>91.5</v>
      </c>
      <c r="D49" s="12">
        <v>98.5</v>
      </c>
      <c r="E49" s="10">
        <v>94</v>
      </c>
      <c r="F49" s="12"/>
      <c r="G49" s="4">
        <f>COUNT(C49:F49)</f>
        <v>3</v>
      </c>
      <c r="H49" s="5">
        <f>AVERAGEIF(C49:F49,"&gt;0")</f>
        <v>94.666666666666671</v>
      </c>
      <c r="I49" s="5" t="str">
        <f>IF(H49&gt;=90,"امتياز",IF(H49&gt;=80,"جيد جدا",IF(H49&gt;=70,"جيد","-")))</f>
        <v>امتياز</v>
      </c>
    </row>
    <row r="50" spans="1:9" ht="29" x14ac:dyDescent="1.75">
      <c r="A50" s="3">
        <v>1049</v>
      </c>
      <c r="B50" s="16" t="s">
        <v>66</v>
      </c>
      <c r="C50" s="9"/>
      <c r="D50" s="12">
        <v>50</v>
      </c>
      <c r="E50" s="10"/>
      <c r="F50" s="12">
        <v>67</v>
      </c>
      <c r="G50" s="4">
        <f>COUNT(C50:F50)</f>
        <v>2</v>
      </c>
      <c r="H50" s="5">
        <f>AVERAGEIF(C50:F50,"&gt;0")</f>
        <v>58.5</v>
      </c>
      <c r="I50" s="5" t="str">
        <f>IF(H50&gt;=90,"امتياز",IF(H50&gt;=80,"جيد جدا",IF(H50&gt;=70,"جيد","-")))</f>
        <v>-</v>
      </c>
    </row>
    <row r="51" spans="1:9" ht="29" x14ac:dyDescent="1.75">
      <c r="A51" s="3">
        <v>1050</v>
      </c>
      <c r="B51" s="16" t="s">
        <v>67</v>
      </c>
      <c r="C51" s="10">
        <v>98.5</v>
      </c>
      <c r="D51" s="12">
        <v>100</v>
      </c>
      <c r="E51" s="10">
        <v>100</v>
      </c>
      <c r="F51" s="12"/>
      <c r="G51" s="4">
        <f>COUNT(C51:F51)</f>
        <v>3</v>
      </c>
      <c r="H51" s="5">
        <f>AVERAGEIF(C51:F51,"&gt;0")</f>
        <v>99.5</v>
      </c>
      <c r="I51" s="5" t="str">
        <f>IF(H51&gt;=90,"امتياز",IF(H51&gt;=80,"جيد جدا",IF(H51&gt;=70,"جيد","-")))</f>
        <v>امتياز</v>
      </c>
    </row>
    <row r="52" spans="1:9" ht="29" x14ac:dyDescent="1.75">
      <c r="A52" s="3">
        <v>1051</v>
      </c>
      <c r="B52" s="16" t="s">
        <v>38</v>
      </c>
      <c r="C52" s="10">
        <v>29</v>
      </c>
      <c r="D52" s="12"/>
      <c r="E52" s="10"/>
      <c r="F52" s="12">
        <v>26</v>
      </c>
      <c r="G52" s="4">
        <f>COUNT(C52:F52)</f>
        <v>2</v>
      </c>
      <c r="H52" s="5">
        <f>AVERAGEIF(C52:F52,"&gt;0")</f>
        <v>27.5</v>
      </c>
      <c r="I52" s="5" t="str">
        <f>IF(H52&gt;=90,"امتياز",IF(H52&gt;=80,"جيد جدا",IF(H52&gt;=70,"جيد","-")))</f>
        <v>-</v>
      </c>
    </row>
    <row r="53" spans="1:9" ht="29" x14ac:dyDescent="1.75">
      <c r="A53" s="3">
        <v>1052</v>
      </c>
      <c r="B53" s="16" t="s">
        <v>101</v>
      </c>
      <c r="C53" s="10">
        <v>91</v>
      </c>
      <c r="D53" s="12">
        <v>97.5</v>
      </c>
      <c r="E53" s="10">
        <v>95</v>
      </c>
      <c r="F53" s="12">
        <v>96</v>
      </c>
      <c r="G53" s="4">
        <f>COUNT(C53:F53)</f>
        <v>4</v>
      </c>
      <c r="H53" s="5">
        <f>AVERAGEIF(C53:F53,"&gt;0")</f>
        <v>94.875</v>
      </c>
      <c r="I53" s="5" t="str">
        <f>IF(H53&gt;=90,"امتياز",IF(H53&gt;=80,"جيد جدا",IF(H53&gt;=70,"جيد","-")))</f>
        <v>امتياز</v>
      </c>
    </row>
    <row r="54" spans="1:9" ht="29" x14ac:dyDescent="1.75">
      <c r="A54" s="3">
        <v>1053</v>
      </c>
      <c r="B54" s="17" t="s">
        <v>117</v>
      </c>
      <c r="C54" s="9"/>
      <c r="D54" s="13"/>
      <c r="E54" s="9"/>
      <c r="F54" s="12">
        <v>91</v>
      </c>
      <c r="G54" s="4">
        <f>COUNT(C54:F54)</f>
        <v>1</v>
      </c>
      <c r="H54" s="5">
        <f>AVERAGEIF(C54:F54,"&gt;0")</f>
        <v>91</v>
      </c>
      <c r="I54" s="5" t="str">
        <f>IF(H54&gt;=90,"امتياز",IF(H54&gt;=80,"جيد جدا",IF(H54&gt;=70,"جيد","-")))</f>
        <v>امتياز</v>
      </c>
    </row>
    <row r="55" spans="1:9" ht="29" x14ac:dyDescent="1.75">
      <c r="A55" s="3">
        <v>1054</v>
      </c>
      <c r="B55" s="16" t="s">
        <v>68</v>
      </c>
      <c r="C55" s="9"/>
      <c r="D55" s="12">
        <v>80</v>
      </c>
      <c r="E55" s="10"/>
      <c r="F55" s="12">
        <v>57</v>
      </c>
      <c r="G55" s="4">
        <f>COUNT(C55:F55)</f>
        <v>2</v>
      </c>
      <c r="H55" s="5">
        <f>AVERAGEIF(C55:F55,"&gt;0")</f>
        <v>68.5</v>
      </c>
      <c r="I55" s="5" t="str">
        <f>IF(H55&gt;=90,"امتياز",IF(H55&gt;=80,"جيد جدا",IF(H55&gt;=70,"جيد","-")))</f>
        <v>-</v>
      </c>
    </row>
    <row r="56" spans="1:9" ht="29" x14ac:dyDescent="1.75">
      <c r="A56" s="3">
        <v>1055</v>
      </c>
      <c r="B56" s="16" t="s">
        <v>34</v>
      </c>
      <c r="C56" s="10">
        <v>83.5</v>
      </c>
      <c r="D56" s="12">
        <v>89</v>
      </c>
      <c r="E56" s="10">
        <v>85</v>
      </c>
      <c r="F56" s="12">
        <v>85</v>
      </c>
      <c r="G56" s="4">
        <f>COUNT(C56:F56)</f>
        <v>4</v>
      </c>
      <c r="H56" s="5">
        <f>AVERAGEIF(C56:F56,"&gt;0")</f>
        <v>85.625</v>
      </c>
      <c r="I56" s="5" t="str">
        <f>IF(H56&gt;=90,"امتياز",IF(H56&gt;=80,"جيد جدا",IF(H56&gt;=70,"جيد","-")))</f>
        <v>جيد جدا</v>
      </c>
    </row>
    <row r="57" spans="1:9" ht="29" x14ac:dyDescent="1.75">
      <c r="A57" s="3">
        <v>1056</v>
      </c>
      <c r="B57" s="17" t="s">
        <v>140</v>
      </c>
      <c r="C57" s="9"/>
      <c r="D57" s="13"/>
      <c r="E57" s="9"/>
      <c r="F57" s="12">
        <v>91.5</v>
      </c>
      <c r="G57" s="4">
        <f>COUNT(C57:F57)</f>
        <v>1</v>
      </c>
      <c r="H57" s="5">
        <f>AVERAGEIF(C57:F57,"&gt;0")</f>
        <v>91.5</v>
      </c>
      <c r="I57" s="5" t="str">
        <f>IF(H57&gt;=90,"امتياز",IF(H57&gt;=80,"جيد جدا",IF(H57&gt;=70,"جيد","-")))</f>
        <v>امتياز</v>
      </c>
    </row>
    <row r="58" spans="1:9" ht="29" x14ac:dyDescent="1.75">
      <c r="A58" s="3">
        <v>1057</v>
      </c>
      <c r="B58" s="17" t="s">
        <v>135</v>
      </c>
      <c r="C58" s="9"/>
      <c r="D58" s="13"/>
      <c r="E58" s="9"/>
      <c r="F58" s="12">
        <v>55</v>
      </c>
      <c r="G58" s="4">
        <f>COUNT(C58:F58)</f>
        <v>1</v>
      </c>
      <c r="H58" s="5">
        <f>AVERAGEIF(C58:F58,"&gt;0")</f>
        <v>55</v>
      </c>
      <c r="I58" s="5" t="str">
        <f>IF(H58&gt;=90,"امتياز",IF(H58&gt;=80,"جيد جدا",IF(H58&gt;=70,"جيد","-")))</f>
        <v>-</v>
      </c>
    </row>
    <row r="59" spans="1:9" ht="29" x14ac:dyDescent="1.75">
      <c r="A59" s="3">
        <v>1058</v>
      </c>
      <c r="B59" s="17" t="s">
        <v>185</v>
      </c>
      <c r="C59" s="9"/>
      <c r="D59" s="13"/>
      <c r="E59" s="9"/>
      <c r="F59" s="12">
        <v>75</v>
      </c>
      <c r="G59" s="4">
        <f>COUNT(C59:F59)</f>
        <v>1</v>
      </c>
      <c r="H59" s="5">
        <f>AVERAGEIF(C59:F59,"&gt;0")</f>
        <v>75</v>
      </c>
      <c r="I59" s="5" t="str">
        <f>IF(H59&gt;=90,"امتياز",IF(H59&gt;=80,"جيد جدا",IF(H59&gt;=70,"جيد","-")))</f>
        <v>جيد</v>
      </c>
    </row>
    <row r="60" spans="1:9" ht="29" x14ac:dyDescent="1.75">
      <c r="A60" s="3">
        <v>1059</v>
      </c>
      <c r="B60" s="17" t="s">
        <v>114</v>
      </c>
      <c r="C60" s="9"/>
      <c r="D60" s="13"/>
      <c r="E60" s="9"/>
      <c r="F60" s="12">
        <v>79</v>
      </c>
      <c r="G60" s="4">
        <f>COUNT(C60:F60)</f>
        <v>1</v>
      </c>
      <c r="H60" s="5">
        <f>AVERAGEIF(C60:F60,"&gt;0")</f>
        <v>79</v>
      </c>
      <c r="I60" s="5" t="str">
        <f>IF(H60&gt;=90,"امتياز",IF(H60&gt;=80,"جيد جدا",IF(H60&gt;=70,"جيد","-")))</f>
        <v>جيد</v>
      </c>
    </row>
    <row r="61" spans="1:9" ht="29" x14ac:dyDescent="1.75">
      <c r="A61" s="3">
        <v>1060</v>
      </c>
      <c r="B61" s="18" t="s">
        <v>186</v>
      </c>
      <c r="C61" s="10">
        <v>80</v>
      </c>
      <c r="D61" s="14">
        <v>84</v>
      </c>
      <c r="E61" s="11"/>
      <c r="F61" s="14"/>
      <c r="G61" s="4">
        <f>COUNT(C61:F61)</f>
        <v>2</v>
      </c>
      <c r="H61" s="5">
        <f>AVERAGEIF(C61:F61,"&gt;0")</f>
        <v>82</v>
      </c>
      <c r="I61" s="5" t="str">
        <f>IF(H61&gt;=90,"امتياز",IF(H61&gt;=80,"جيد جدا",IF(H61&gt;=70,"جيد","-")))</f>
        <v>جيد جدا</v>
      </c>
    </row>
    <row r="62" spans="1:9" ht="29" x14ac:dyDescent="1.75">
      <c r="A62" s="3">
        <v>1061</v>
      </c>
      <c r="B62" s="16" t="s">
        <v>6</v>
      </c>
      <c r="C62" s="10">
        <v>94</v>
      </c>
      <c r="D62" s="13"/>
      <c r="E62" s="10">
        <v>94</v>
      </c>
      <c r="F62" s="12"/>
      <c r="G62" s="4">
        <f>COUNT(C62:F62)</f>
        <v>2</v>
      </c>
      <c r="H62" s="5">
        <f>AVERAGEIF(C62:F62,"&gt;0")</f>
        <v>94</v>
      </c>
      <c r="I62" s="5" t="str">
        <f>IF(H62&gt;=90,"امتياز",IF(H62&gt;=80,"جيد جدا",IF(H62&gt;=70,"جيد","-")))</f>
        <v>امتياز</v>
      </c>
    </row>
    <row r="63" spans="1:9" ht="29" x14ac:dyDescent="1.75">
      <c r="A63" s="3">
        <v>1062</v>
      </c>
      <c r="B63" s="17" t="s">
        <v>187</v>
      </c>
      <c r="C63" s="9"/>
      <c r="D63" s="13"/>
      <c r="E63" s="9"/>
      <c r="F63" s="12">
        <v>71</v>
      </c>
      <c r="G63" s="4">
        <f>COUNT(C63:F63)</f>
        <v>1</v>
      </c>
      <c r="H63" s="5">
        <f>AVERAGEIF(C63:F63,"&gt;0")</f>
        <v>71</v>
      </c>
      <c r="I63" s="5" t="str">
        <f>IF(H63&gt;=90,"امتياز",IF(H63&gt;=80,"جيد جدا",IF(H63&gt;=70,"جيد","-")))</f>
        <v>جيد</v>
      </c>
    </row>
    <row r="64" spans="1:9" ht="58" x14ac:dyDescent="1.75">
      <c r="A64" s="3">
        <v>1063</v>
      </c>
      <c r="B64" s="16" t="s">
        <v>166</v>
      </c>
      <c r="C64" s="9"/>
      <c r="D64" s="12">
        <v>90.5</v>
      </c>
      <c r="E64" s="10">
        <v>84</v>
      </c>
      <c r="F64" s="12"/>
      <c r="G64" s="4">
        <f>COUNT(C64:F64)</f>
        <v>2</v>
      </c>
      <c r="H64" s="5">
        <f>AVERAGEIF(C64:F64,"&gt;0")</f>
        <v>87.25</v>
      </c>
      <c r="I64" s="5" t="str">
        <f>IF(H64&gt;=90,"امتياز",IF(H64&gt;=80,"جيد جدا",IF(H64&gt;=70,"جيد","-")))</f>
        <v>جيد جدا</v>
      </c>
    </row>
    <row r="65" spans="1:9" ht="29" x14ac:dyDescent="1.75">
      <c r="A65" s="3">
        <v>1064</v>
      </c>
      <c r="B65" s="17" t="s">
        <v>121</v>
      </c>
      <c r="C65" s="9"/>
      <c r="D65" s="13"/>
      <c r="E65" s="9"/>
      <c r="F65" s="12">
        <v>88</v>
      </c>
      <c r="G65" s="4">
        <f>COUNT(C65:F65)</f>
        <v>1</v>
      </c>
      <c r="H65" s="5">
        <f>AVERAGEIF(C65:F65,"&gt;0")</f>
        <v>88</v>
      </c>
      <c r="I65" s="5" t="str">
        <f>IF(H65&gt;=90,"امتياز",IF(H65&gt;=80,"جيد جدا",IF(H65&gt;=70,"جيد","-")))</f>
        <v>جيد جدا</v>
      </c>
    </row>
    <row r="66" spans="1:9" ht="29" x14ac:dyDescent="1.75">
      <c r="A66" s="3">
        <v>1065</v>
      </c>
      <c r="B66" s="16" t="s">
        <v>3</v>
      </c>
      <c r="C66" s="10">
        <v>99</v>
      </c>
      <c r="D66" s="12"/>
      <c r="E66" s="10"/>
      <c r="F66" s="12"/>
      <c r="G66" s="4">
        <f>COUNT(C66:F66)</f>
        <v>1</v>
      </c>
      <c r="H66" s="5">
        <f>AVERAGEIF(C66:F66,"&gt;0")</f>
        <v>99</v>
      </c>
      <c r="I66" s="5" t="str">
        <f>IF(H66&gt;=90,"امتياز",IF(H66&gt;=80,"جيد جدا",IF(H66&gt;=70,"جيد","-")))</f>
        <v>امتياز</v>
      </c>
    </row>
    <row r="67" spans="1:9" ht="29" x14ac:dyDescent="1.75">
      <c r="A67" s="3">
        <v>1066</v>
      </c>
      <c r="B67" s="17" t="s">
        <v>188</v>
      </c>
      <c r="C67" s="9"/>
      <c r="D67" s="13"/>
      <c r="E67" s="9"/>
      <c r="F67" s="12">
        <v>98</v>
      </c>
      <c r="G67" s="4">
        <f>COUNT(C67:F67)</f>
        <v>1</v>
      </c>
      <c r="H67" s="5">
        <f>AVERAGEIF(C67:F67,"&gt;0")</f>
        <v>98</v>
      </c>
      <c r="I67" s="5" t="str">
        <f>IF(H67&gt;=90,"امتياز",IF(H67&gt;=80,"جيد جدا",IF(H67&gt;=70,"جيد","-")))</f>
        <v>امتياز</v>
      </c>
    </row>
    <row r="68" spans="1:9" ht="29" x14ac:dyDescent="1.75">
      <c r="A68" s="3">
        <v>1067</v>
      </c>
      <c r="B68" s="16" t="s">
        <v>30</v>
      </c>
      <c r="C68" s="10">
        <v>74</v>
      </c>
      <c r="D68" s="12"/>
      <c r="E68" s="10"/>
      <c r="F68" s="12"/>
      <c r="G68" s="4">
        <f>COUNT(C68:F68)</f>
        <v>1</v>
      </c>
      <c r="H68" s="5">
        <f>AVERAGEIF(C68:F68,"&gt;0")</f>
        <v>74</v>
      </c>
      <c r="I68" s="5" t="str">
        <f>IF(H68&gt;=90,"امتياز",IF(H68&gt;=80,"جيد جدا",IF(H68&gt;=70,"جيد","-")))</f>
        <v>جيد</v>
      </c>
    </row>
    <row r="69" spans="1:9" ht="29" x14ac:dyDescent="1.75">
      <c r="A69" s="3">
        <v>1068</v>
      </c>
      <c r="B69" s="17" t="s">
        <v>120</v>
      </c>
      <c r="C69" s="9"/>
      <c r="D69" s="13"/>
      <c r="E69" s="9"/>
      <c r="F69" s="12">
        <v>93</v>
      </c>
      <c r="G69" s="4">
        <f>COUNT(C69:F69)</f>
        <v>1</v>
      </c>
      <c r="H69" s="5">
        <f>AVERAGEIF(C69:F69,"&gt;0")</f>
        <v>93</v>
      </c>
      <c r="I69" s="5" t="str">
        <f>IF(H69&gt;=90,"امتياز",IF(H69&gt;=80,"جيد جدا",IF(H69&gt;=70,"جيد","-")))</f>
        <v>امتياز</v>
      </c>
    </row>
    <row r="70" spans="1:9" ht="29" x14ac:dyDescent="1.75">
      <c r="A70" s="3">
        <v>1069</v>
      </c>
      <c r="B70" s="16" t="s">
        <v>245</v>
      </c>
      <c r="C70" s="10">
        <v>98.5</v>
      </c>
      <c r="D70" s="12">
        <v>100</v>
      </c>
      <c r="E70" s="10">
        <v>98</v>
      </c>
      <c r="F70" s="12">
        <v>98</v>
      </c>
      <c r="G70" s="4">
        <f>COUNT(C70:F70)</f>
        <v>4</v>
      </c>
      <c r="H70" s="5">
        <f>AVERAGEIF(C70:F70,"&gt;0")</f>
        <v>98.625</v>
      </c>
      <c r="I70" s="5" t="str">
        <f>IF(H70&gt;=90,"امتياز",IF(H70&gt;=80,"جيد جدا",IF(H70&gt;=70,"جيد","-")))</f>
        <v>امتياز</v>
      </c>
    </row>
    <row r="71" spans="1:9" ht="29" x14ac:dyDescent="1.75">
      <c r="A71" s="3">
        <v>1070</v>
      </c>
      <c r="B71" s="16" t="s">
        <v>50</v>
      </c>
      <c r="C71" s="10">
        <v>82</v>
      </c>
      <c r="D71" s="12">
        <v>79</v>
      </c>
      <c r="E71" s="10">
        <v>72</v>
      </c>
      <c r="F71" s="12"/>
      <c r="G71" s="4">
        <f>COUNT(C71:F71)</f>
        <v>3</v>
      </c>
      <c r="H71" s="5">
        <f>AVERAGEIF(C71:F71,"&gt;0")</f>
        <v>77.666666666666671</v>
      </c>
      <c r="I71" s="5" t="str">
        <f>IF(H71&gt;=90,"امتياز",IF(H71&gt;=80,"جيد جدا",IF(H71&gt;=70,"جيد","-")))</f>
        <v>جيد</v>
      </c>
    </row>
    <row r="72" spans="1:9" ht="29" x14ac:dyDescent="1.75">
      <c r="A72" s="3">
        <v>1071</v>
      </c>
      <c r="B72" s="16" t="s">
        <v>15</v>
      </c>
      <c r="C72" s="10">
        <v>89.5</v>
      </c>
      <c r="D72" s="12">
        <v>84</v>
      </c>
      <c r="E72" s="10"/>
      <c r="F72" s="12">
        <v>82</v>
      </c>
      <c r="G72" s="4">
        <f>COUNT(C72:F72)</f>
        <v>3</v>
      </c>
      <c r="H72" s="5">
        <f>AVERAGEIF(C72:F72,"&gt;0")</f>
        <v>85.166666666666671</v>
      </c>
      <c r="I72" s="5" t="str">
        <f>IF(H72&gt;=90,"امتياز",IF(H72&gt;=80,"جيد جدا",IF(H72&gt;=70,"جيد","-")))</f>
        <v>جيد جدا</v>
      </c>
    </row>
    <row r="73" spans="1:9" ht="29" x14ac:dyDescent="1.75">
      <c r="A73" s="3">
        <v>1072</v>
      </c>
      <c r="B73" s="17" t="s">
        <v>138</v>
      </c>
      <c r="C73" s="9"/>
      <c r="D73" s="13"/>
      <c r="E73" s="9"/>
      <c r="F73" s="12">
        <v>95</v>
      </c>
      <c r="G73" s="4">
        <f>COUNT(C73:F73)</f>
        <v>1</v>
      </c>
      <c r="H73" s="5">
        <f>AVERAGEIF(C73:F73,"&gt;0")</f>
        <v>95</v>
      </c>
      <c r="I73" s="5" t="str">
        <f>IF(H73&gt;=90,"امتياز",IF(H73&gt;=80,"جيد جدا",IF(H73&gt;=70,"جيد","-")))</f>
        <v>امتياز</v>
      </c>
    </row>
    <row r="74" spans="1:9" ht="29" x14ac:dyDescent="1.75">
      <c r="A74" s="3">
        <v>1073</v>
      </c>
      <c r="B74" s="16" t="s">
        <v>189</v>
      </c>
      <c r="C74" s="10">
        <v>83</v>
      </c>
      <c r="D74" s="12">
        <v>100</v>
      </c>
      <c r="E74" s="10">
        <v>97</v>
      </c>
      <c r="F74" s="12"/>
      <c r="G74" s="4">
        <f>COUNT(C74:F74)</f>
        <v>3</v>
      </c>
      <c r="H74" s="5">
        <f>AVERAGEIF(C74:F74,"&gt;0")</f>
        <v>93.333333333333329</v>
      </c>
      <c r="I74" s="5" t="str">
        <f>IF(H74&gt;=90,"امتياز",IF(H74&gt;=80,"جيد جدا",IF(H74&gt;=70,"جيد","-")))</f>
        <v>امتياز</v>
      </c>
    </row>
    <row r="75" spans="1:9" ht="29" x14ac:dyDescent="1.75">
      <c r="A75" s="3">
        <v>1074</v>
      </c>
      <c r="B75" s="16" t="s">
        <v>41</v>
      </c>
      <c r="C75" s="10">
        <v>89.5</v>
      </c>
      <c r="D75" s="12"/>
      <c r="E75" s="10"/>
      <c r="F75" s="12">
        <v>89.5</v>
      </c>
      <c r="G75" s="4">
        <f>COUNT(C75:F75)</f>
        <v>2</v>
      </c>
      <c r="H75" s="5">
        <f>AVERAGEIF(C75:F75,"&gt;0")</f>
        <v>89.5</v>
      </c>
      <c r="I75" s="5" t="str">
        <f>IF(H75&gt;=90,"امتياز",IF(H75&gt;=80,"جيد جدا",IF(H75&gt;=70,"جيد","-")))</f>
        <v>جيد جدا</v>
      </c>
    </row>
    <row r="76" spans="1:9" ht="29" x14ac:dyDescent="1.75">
      <c r="A76" s="3">
        <v>1075</v>
      </c>
      <c r="B76" s="16" t="s">
        <v>28</v>
      </c>
      <c r="C76" s="10">
        <v>69.5</v>
      </c>
      <c r="D76" s="12"/>
      <c r="E76" s="10"/>
      <c r="F76" s="12"/>
      <c r="G76" s="4">
        <f>COUNT(C76:F76)</f>
        <v>1</v>
      </c>
      <c r="H76" s="5">
        <f>AVERAGEIF(C76:F76,"&gt;0")</f>
        <v>69.5</v>
      </c>
      <c r="I76" s="5" t="str">
        <f>IF(H76&gt;=90,"امتياز",IF(H76&gt;=80,"جيد جدا",IF(H76&gt;=70,"جيد","-")))</f>
        <v>-</v>
      </c>
    </row>
    <row r="77" spans="1:9" ht="29" x14ac:dyDescent="1.75">
      <c r="A77" s="3">
        <v>1076</v>
      </c>
      <c r="B77" s="16" t="s">
        <v>69</v>
      </c>
      <c r="C77" s="9"/>
      <c r="D77" s="12">
        <v>97</v>
      </c>
      <c r="E77" s="10"/>
      <c r="F77" s="12">
        <v>98</v>
      </c>
      <c r="G77" s="4">
        <f>COUNT(C77:F77)</f>
        <v>2</v>
      </c>
      <c r="H77" s="5">
        <f>AVERAGEIF(C77:F77,"&gt;0")</f>
        <v>97.5</v>
      </c>
      <c r="I77" s="5" t="str">
        <f>IF(H77&gt;=90,"امتياز",IF(H77&gt;=80,"جيد جدا",IF(H77&gt;=70,"جيد","-")))</f>
        <v>امتياز</v>
      </c>
    </row>
    <row r="78" spans="1:9" ht="29" x14ac:dyDescent="1.75">
      <c r="A78" s="3">
        <v>1077</v>
      </c>
      <c r="B78" s="17" t="s">
        <v>123</v>
      </c>
      <c r="C78" s="9"/>
      <c r="D78" s="13"/>
      <c r="E78" s="9"/>
      <c r="F78" s="12">
        <v>77</v>
      </c>
      <c r="G78" s="4">
        <f>COUNT(C78:F78)</f>
        <v>1</v>
      </c>
      <c r="H78" s="5">
        <f>AVERAGEIF(C78:F78,"&gt;0")</f>
        <v>77</v>
      </c>
      <c r="I78" s="5" t="str">
        <f>IF(H78&gt;=90,"امتياز",IF(H78&gt;=80,"جيد جدا",IF(H78&gt;=70,"جيد","-")))</f>
        <v>جيد</v>
      </c>
    </row>
    <row r="79" spans="1:9" ht="29" x14ac:dyDescent="1.75">
      <c r="A79" s="3">
        <v>1078</v>
      </c>
      <c r="B79" s="17" t="s">
        <v>190</v>
      </c>
      <c r="C79" s="9"/>
      <c r="D79" s="13"/>
      <c r="E79" s="9"/>
      <c r="F79" s="12">
        <v>63</v>
      </c>
      <c r="G79" s="4">
        <f>COUNT(C79:F79)</f>
        <v>1</v>
      </c>
      <c r="H79" s="5">
        <f>AVERAGEIF(C79:F79,"&gt;0")</f>
        <v>63</v>
      </c>
      <c r="I79" s="5" t="str">
        <f>IF(H79&gt;=90,"امتياز",IF(H79&gt;=80,"جيد جدا",IF(H79&gt;=70,"جيد","-")))</f>
        <v>-</v>
      </c>
    </row>
    <row r="80" spans="1:9" ht="29" x14ac:dyDescent="1.75">
      <c r="A80" s="3">
        <v>1079</v>
      </c>
      <c r="B80" s="17" t="s">
        <v>191</v>
      </c>
      <c r="C80" s="9"/>
      <c r="D80" s="13"/>
      <c r="E80" s="9"/>
      <c r="F80" s="12">
        <v>87</v>
      </c>
      <c r="G80" s="4">
        <f>COUNT(C80:F80)</f>
        <v>1</v>
      </c>
      <c r="H80" s="5">
        <f>AVERAGEIF(C80:F80,"&gt;0")</f>
        <v>87</v>
      </c>
      <c r="I80" s="5" t="str">
        <f>IF(H80&gt;=90,"امتياز",IF(H80&gt;=80,"جيد جدا",IF(H80&gt;=70,"جيد","-")))</f>
        <v>جيد جدا</v>
      </c>
    </row>
    <row r="81" spans="1:9" ht="29" x14ac:dyDescent="1.75">
      <c r="A81" s="3">
        <v>1080</v>
      </c>
      <c r="B81" s="17" t="s">
        <v>192</v>
      </c>
      <c r="C81" s="10">
        <v>86</v>
      </c>
      <c r="D81" s="13"/>
      <c r="E81" s="9"/>
      <c r="F81" s="12">
        <v>97.5</v>
      </c>
      <c r="G81" s="4">
        <f>COUNT(C81:F81)</f>
        <v>2</v>
      </c>
      <c r="H81" s="5">
        <f>AVERAGEIF(C81:F81,"&gt;0")</f>
        <v>91.75</v>
      </c>
      <c r="I81" s="5" t="str">
        <f>IF(H81&gt;=90,"امتياز",IF(H81&gt;=80,"جيد جدا",IF(H81&gt;=70,"جيد","-")))</f>
        <v>امتياز</v>
      </c>
    </row>
    <row r="82" spans="1:9" ht="29" x14ac:dyDescent="1.75">
      <c r="A82" s="3">
        <v>1081</v>
      </c>
      <c r="B82" s="16" t="s">
        <v>193</v>
      </c>
      <c r="C82" s="10">
        <v>56.5</v>
      </c>
      <c r="D82" s="12">
        <v>75</v>
      </c>
      <c r="E82" s="10">
        <v>74</v>
      </c>
      <c r="F82" s="12">
        <v>78</v>
      </c>
      <c r="G82" s="4">
        <f>COUNT(C82:F82)</f>
        <v>4</v>
      </c>
      <c r="H82" s="5">
        <f>AVERAGEIF(C82:F82,"&gt;0")</f>
        <v>70.875</v>
      </c>
      <c r="I82" s="5" t="str">
        <f>IF(H82&gt;=90,"امتياز",IF(H82&gt;=80,"جيد جدا",IF(H82&gt;=70,"جيد","-")))</f>
        <v>جيد</v>
      </c>
    </row>
    <row r="83" spans="1:9" ht="29" x14ac:dyDescent="1.75">
      <c r="A83" s="3">
        <v>1082</v>
      </c>
      <c r="B83" s="16" t="s">
        <v>106</v>
      </c>
      <c r="C83" s="10">
        <v>98.5</v>
      </c>
      <c r="D83" s="12">
        <v>99</v>
      </c>
      <c r="E83" s="10">
        <v>96</v>
      </c>
      <c r="F83" s="12"/>
      <c r="G83" s="4">
        <f>COUNT(C83:F83)</f>
        <v>3</v>
      </c>
      <c r="H83" s="5">
        <f>AVERAGEIF(C83:F83,"&gt;0")</f>
        <v>97.833333333333329</v>
      </c>
      <c r="I83" s="5" t="str">
        <f>IF(H83&gt;=90,"امتياز",IF(H83&gt;=80,"جيد جدا",IF(H83&gt;=70,"جيد","-")))</f>
        <v>امتياز</v>
      </c>
    </row>
    <row r="84" spans="1:9" ht="29" x14ac:dyDescent="1.75">
      <c r="A84" s="3">
        <v>1083</v>
      </c>
      <c r="B84" s="16" t="s">
        <v>49</v>
      </c>
      <c r="C84" s="10">
        <v>86.5</v>
      </c>
      <c r="D84" s="12"/>
      <c r="E84" s="10"/>
      <c r="F84" s="12"/>
      <c r="G84" s="4">
        <f>COUNT(C84:F84)</f>
        <v>1</v>
      </c>
      <c r="H84" s="5">
        <f>AVERAGEIF(C84:F84,"&gt;0")</f>
        <v>86.5</v>
      </c>
      <c r="I84" s="5" t="str">
        <f>IF(H84&gt;=90,"امتياز",IF(H84&gt;=80,"جيد جدا",IF(H84&gt;=70,"جيد","-")))</f>
        <v>جيد جدا</v>
      </c>
    </row>
    <row r="85" spans="1:9" ht="29" x14ac:dyDescent="1.75">
      <c r="A85" s="3">
        <v>1084</v>
      </c>
      <c r="B85" s="16" t="s">
        <v>70</v>
      </c>
      <c r="C85" s="10">
        <v>97</v>
      </c>
      <c r="D85" s="12">
        <v>95</v>
      </c>
      <c r="E85" s="10">
        <v>93</v>
      </c>
      <c r="F85" s="12"/>
      <c r="G85" s="4">
        <f>COUNT(C85:F85)</f>
        <v>3</v>
      </c>
      <c r="H85" s="5">
        <f>AVERAGEIF(C85:F85,"&gt;0")</f>
        <v>95</v>
      </c>
      <c r="I85" s="5" t="str">
        <f>IF(H85&gt;=90,"امتياز",IF(H85&gt;=80,"جيد جدا",IF(H85&gt;=70,"جيد","-")))</f>
        <v>امتياز</v>
      </c>
    </row>
    <row r="86" spans="1:9" ht="29" x14ac:dyDescent="1.75">
      <c r="A86" s="3">
        <v>1085</v>
      </c>
      <c r="B86" s="17" t="s">
        <v>167</v>
      </c>
      <c r="C86" s="9"/>
      <c r="D86" s="13"/>
      <c r="E86" s="9"/>
      <c r="F86" s="12">
        <v>68.5</v>
      </c>
      <c r="G86" s="4">
        <f>COUNT(C86:F86)</f>
        <v>1</v>
      </c>
      <c r="H86" s="5">
        <f>AVERAGEIF(C86:F86,"&gt;0")</f>
        <v>68.5</v>
      </c>
      <c r="I86" s="5" t="str">
        <f>IF(H86&gt;=90,"امتياز",IF(H86&gt;=80,"جيد جدا",IF(H86&gt;=70,"جيد","-")))</f>
        <v>-</v>
      </c>
    </row>
    <row r="87" spans="1:9" ht="29" x14ac:dyDescent="1.75">
      <c r="A87" s="3">
        <v>1086</v>
      </c>
      <c r="B87" s="17" t="s">
        <v>168</v>
      </c>
      <c r="C87" s="9"/>
      <c r="D87" s="13"/>
      <c r="E87" s="9"/>
      <c r="F87" s="12">
        <v>76</v>
      </c>
      <c r="G87" s="4">
        <f>COUNT(C87:F87)</f>
        <v>1</v>
      </c>
      <c r="H87" s="5">
        <f>AVERAGEIF(C87:F87,"&gt;0")</f>
        <v>76</v>
      </c>
      <c r="I87" s="5" t="str">
        <f>IF(H87&gt;=90,"امتياز",IF(H87&gt;=80,"جيد جدا",IF(H87&gt;=70,"جيد","-")))</f>
        <v>جيد</v>
      </c>
    </row>
    <row r="88" spans="1:9" ht="29" x14ac:dyDescent="1.75">
      <c r="A88" s="3">
        <v>1087</v>
      </c>
      <c r="B88" s="17" t="s">
        <v>141</v>
      </c>
      <c r="C88" s="9"/>
      <c r="D88" s="13"/>
      <c r="E88" s="9"/>
      <c r="F88" s="12">
        <v>95</v>
      </c>
      <c r="G88" s="4">
        <f>COUNT(C88:F88)</f>
        <v>1</v>
      </c>
      <c r="H88" s="5">
        <f>AVERAGEIF(C88:F88,"&gt;0")</f>
        <v>95</v>
      </c>
      <c r="I88" s="5" t="str">
        <f>IF(H88&gt;=90,"امتياز",IF(H88&gt;=80,"جيد جدا",IF(H88&gt;=70,"جيد","-")))</f>
        <v>امتياز</v>
      </c>
    </row>
    <row r="89" spans="1:9" ht="29" x14ac:dyDescent="1.75">
      <c r="A89" s="3">
        <v>1088</v>
      </c>
      <c r="B89" s="16" t="s">
        <v>71</v>
      </c>
      <c r="C89" s="9"/>
      <c r="D89" s="12">
        <v>90</v>
      </c>
      <c r="E89" s="10">
        <v>64.5</v>
      </c>
      <c r="F89" s="12">
        <v>72</v>
      </c>
      <c r="G89" s="4">
        <f>COUNT(C89:F89)</f>
        <v>3</v>
      </c>
      <c r="H89" s="5">
        <f>AVERAGEIF(C89:F89,"&gt;0")</f>
        <v>75.5</v>
      </c>
      <c r="I89" s="5" t="str">
        <f>IF(H89&gt;=90,"امتياز",IF(H89&gt;=80,"جيد جدا",IF(H89&gt;=70,"جيد","-")))</f>
        <v>جيد</v>
      </c>
    </row>
    <row r="90" spans="1:9" ht="29" x14ac:dyDescent="1.75">
      <c r="A90" s="3">
        <v>1089</v>
      </c>
      <c r="B90" s="17" t="s">
        <v>194</v>
      </c>
      <c r="C90" s="9"/>
      <c r="D90" s="13"/>
      <c r="E90" s="9"/>
      <c r="F90" s="12">
        <v>64</v>
      </c>
      <c r="G90" s="4">
        <f>COUNT(C90:F90)</f>
        <v>1</v>
      </c>
      <c r="H90" s="5">
        <f>AVERAGEIF(C90:F90,"&gt;0")</f>
        <v>64</v>
      </c>
      <c r="I90" s="5" t="str">
        <f>IF(H90&gt;=90,"امتياز",IF(H90&gt;=80,"جيد جدا",IF(H90&gt;=70,"جيد","-")))</f>
        <v>-</v>
      </c>
    </row>
    <row r="91" spans="1:9" ht="29" x14ac:dyDescent="1.75">
      <c r="A91" s="3">
        <v>1090</v>
      </c>
      <c r="B91" s="17" t="s">
        <v>195</v>
      </c>
      <c r="C91" s="10">
        <v>93</v>
      </c>
      <c r="D91" s="12">
        <v>91</v>
      </c>
      <c r="E91" s="10">
        <v>96.5</v>
      </c>
      <c r="F91" s="12">
        <v>100</v>
      </c>
      <c r="G91" s="4">
        <f>COUNT(C91:F91)</f>
        <v>4</v>
      </c>
      <c r="H91" s="5">
        <f>AVERAGEIF(C91:F91,"&gt;0")</f>
        <v>95.125</v>
      </c>
      <c r="I91" s="5" t="str">
        <f>IF(H91&gt;=90,"امتياز",IF(H91&gt;=80,"جيد جدا",IF(H91&gt;=70,"جيد","-")))</f>
        <v>امتياز</v>
      </c>
    </row>
    <row r="92" spans="1:9" ht="29" x14ac:dyDescent="1.75">
      <c r="A92" s="3">
        <v>1091</v>
      </c>
      <c r="B92" s="16" t="s">
        <v>72</v>
      </c>
      <c r="C92" s="9"/>
      <c r="D92" s="12">
        <v>92</v>
      </c>
      <c r="E92" s="10"/>
      <c r="F92" s="12">
        <v>97</v>
      </c>
      <c r="G92" s="4">
        <f>COUNT(C92:F92)</f>
        <v>2</v>
      </c>
      <c r="H92" s="5">
        <f>AVERAGEIF(C92:F92,"&gt;0")</f>
        <v>94.5</v>
      </c>
      <c r="I92" s="5" t="str">
        <f>IF(H92&gt;=90,"امتياز",IF(H92&gt;=80,"جيد جدا",IF(H92&gt;=70,"جيد","-")))</f>
        <v>امتياز</v>
      </c>
    </row>
    <row r="93" spans="1:9" ht="29" x14ac:dyDescent="1.75">
      <c r="A93" s="3">
        <v>1092</v>
      </c>
      <c r="B93" s="16" t="s">
        <v>196</v>
      </c>
      <c r="C93" s="10">
        <v>94.5</v>
      </c>
      <c r="D93" s="12">
        <v>99</v>
      </c>
      <c r="E93" s="10">
        <v>95</v>
      </c>
      <c r="F93" s="12">
        <v>92</v>
      </c>
      <c r="G93" s="4">
        <f>COUNT(C93:F93)</f>
        <v>4</v>
      </c>
      <c r="H93" s="5">
        <f>AVERAGEIF(C93:F93,"&gt;0")</f>
        <v>95.125</v>
      </c>
      <c r="I93" s="5" t="str">
        <f>IF(H93&gt;=90,"امتياز",IF(H93&gt;=80,"جيد جدا",IF(H93&gt;=70,"جيد","-")))</f>
        <v>امتياز</v>
      </c>
    </row>
    <row r="94" spans="1:9" ht="29" x14ac:dyDescent="1.75">
      <c r="A94" s="3">
        <v>1093</v>
      </c>
      <c r="B94" s="17" t="s">
        <v>197</v>
      </c>
      <c r="C94" s="9"/>
      <c r="D94" s="13"/>
      <c r="E94" s="9"/>
      <c r="F94" s="12">
        <v>79</v>
      </c>
      <c r="G94" s="4">
        <f>COUNT(C94:F94)</f>
        <v>1</v>
      </c>
      <c r="H94" s="5">
        <f>AVERAGEIF(C94:F94,"&gt;0")</f>
        <v>79</v>
      </c>
      <c r="I94" s="5" t="str">
        <f>IF(H94&gt;=90,"امتياز",IF(H94&gt;=80,"جيد جدا",IF(H94&gt;=70,"جيد","-")))</f>
        <v>جيد</v>
      </c>
    </row>
    <row r="95" spans="1:9" ht="29" x14ac:dyDescent="1.75">
      <c r="A95" s="3">
        <v>1094</v>
      </c>
      <c r="B95" s="17" t="s">
        <v>133</v>
      </c>
      <c r="C95" s="9"/>
      <c r="D95" s="13"/>
      <c r="E95" s="9"/>
      <c r="F95" s="12">
        <v>78</v>
      </c>
      <c r="G95" s="4">
        <f>COUNT(C95:F95)</f>
        <v>1</v>
      </c>
      <c r="H95" s="5">
        <f>AVERAGEIF(C95:F95,"&gt;0")</f>
        <v>78</v>
      </c>
      <c r="I95" s="5" t="str">
        <f>IF(H95&gt;=90,"امتياز",IF(H95&gt;=80,"جيد جدا",IF(H95&gt;=70,"جيد","-")))</f>
        <v>جيد</v>
      </c>
    </row>
    <row r="96" spans="1:9" ht="29" x14ac:dyDescent="1.75">
      <c r="A96" s="3">
        <v>1095</v>
      </c>
      <c r="B96" s="16" t="s">
        <v>110</v>
      </c>
      <c r="C96" s="9"/>
      <c r="D96" s="13"/>
      <c r="E96" s="10">
        <v>73</v>
      </c>
      <c r="F96" s="12"/>
      <c r="G96" s="4">
        <f>COUNT(C96:F96)</f>
        <v>1</v>
      </c>
      <c r="H96" s="5">
        <f>AVERAGEIF(C96:F96,"&gt;0")</f>
        <v>73</v>
      </c>
      <c r="I96" s="5" t="str">
        <f>IF(H96&gt;=90,"امتياز",IF(H96&gt;=80,"جيد جدا",IF(H96&gt;=70,"جيد","-")))</f>
        <v>جيد</v>
      </c>
    </row>
    <row r="97" spans="1:9" ht="29" x14ac:dyDescent="1.75">
      <c r="A97" s="3">
        <v>1096</v>
      </c>
      <c r="B97" s="17" t="s">
        <v>145</v>
      </c>
      <c r="C97" s="9"/>
      <c r="D97" s="13"/>
      <c r="E97" s="9"/>
      <c r="F97" s="12">
        <v>93</v>
      </c>
      <c r="G97" s="4">
        <f>COUNT(C97:F97)</f>
        <v>1</v>
      </c>
      <c r="H97" s="5">
        <f>AVERAGEIF(C97:F97,"&gt;0")</f>
        <v>93</v>
      </c>
      <c r="I97" s="5" t="str">
        <f>IF(H97&gt;=90,"امتياز",IF(H97&gt;=80,"جيد جدا",IF(H97&gt;=70,"جيد","-")))</f>
        <v>امتياز</v>
      </c>
    </row>
    <row r="98" spans="1:9" ht="29" x14ac:dyDescent="1.75">
      <c r="A98" s="3">
        <v>1097</v>
      </c>
      <c r="B98" s="17" t="s">
        <v>143</v>
      </c>
      <c r="C98" s="9"/>
      <c r="D98" s="13"/>
      <c r="E98" s="9"/>
      <c r="F98" s="12">
        <v>93</v>
      </c>
      <c r="G98" s="4">
        <f>COUNT(C98:F98)</f>
        <v>1</v>
      </c>
      <c r="H98" s="5">
        <f>AVERAGEIF(C98:F98,"&gt;0")</f>
        <v>93</v>
      </c>
      <c r="I98" s="5" t="str">
        <f>IF(H98&gt;=90,"امتياز",IF(H98&gt;=80,"جيد جدا",IF(H98&gt;=70,"جيد","-")))</f>
        <v>امتياز</v>
      </c>
    </row>
    <row r="99" spans="1:9" ht="29" x14ac:dyDescent="1.75">
      <c r="A99" s="3">
        <v>1098</v>
      </c>
      <c r="B99" s="16" t="s">
        <v>198</v>
      </c>
      <c r="C99" s="10">
        <v>58</v>
      </c>
      <c r="D99" s="13"/>
      <c r="E99" s="10">
        <v>38.5</v>
      </c>
      <c r="F99" s="12">
        <v>56</v>
      </c>
      <c r="G99" s="4">
        <f>COUNT(C99:F99)</f>
        <v>3</v>
      </c>
      <c r="H99" s="5">
        <f>AVERAGEIF(C99:F99,"&gt;0")</f>
        <v>50.833333333333336</v>
      </c>
      <c r="I99" s="5" t="str">
        <f>IF(H99&gt;=90,"امتياز",IF(H99&gt;=80,"جيد جدا",IF(H99&gt;=70,"جيد","-")))</f>
        <v>-</v>
      </c>
    </row>
    <row r="100" spans="1:9" ht="29" x14ac:dyDescent="1.75">
      <c r="A100" s="3">
        <v>1099</v>
      </c>
      <c r="B100" s="16" t="s">
        <v>94</v>
      </c>
      <c r="C100" s="10">
        <v>81</v>
      </c>
      <c r="D100" s="12">
        <v>84</v>
      </c>
      <c r="E100" s="10">
        <v>66.5</v>
      </c>
      <c r="F100" s="12">
        <v>84</v>
      </c>
      <c r="G100" s="4">
        <f>COUNT(C100:F100)</f>
        <v>4</v>
      </c>
      <c r="H100" s="5">
        <f>AVERAGEIF(C100:F100,"&gt;0")</f>
        <v>78.875</v>
      </c>
      <c r="I100" s="5" t="str">
        <f>IF(H100&gt;=90,"امتياز",IF(H100&gt;=80,"جيد جدا",IF(H100&gt;=70,"جيد","-")))</f>
        <v>جيد</v>
      </c>
    </row>
    <row r="101" spans="1:9" ht="29" x14ac:dyDescent="1.75">
      <c r="A101" s="3">
        <v>1100</v>
      </c>
      <c r="B101" s="16" t="s">
        <v>97</v>
      </c>
      <c r="C101" s="10">
        <v>97</v>
      </c>
      <c r="D101" s="12">
        <v>100</v>
      </c>
      <c r="E101" s="10">
        <v>99.5</v>
      </c>
      <c r="F101" s="12">
        <v>82</v>
      </c>
      <c r="G101" s="4">
        <f>COUNT(C101:F101)</f>
        <v>4</v>
      </c>
      <c r="H101" s="5">
        <f>AVERAGEIF(C101:F101,"&gt;0")</f>
        <v>94.625</v>
      </c>
      <c r="I101" s="5" t="str">
        <f>IF(H101&gt;=90,"امتياز",IF(H101&gt;=80,"جيد جدا",IF(H101&gt;=70,"جيد","-")))</f>
        <v>امتياز</v>
      </c>
    </row>
    <row r="102" spans="1:9" ht="58" x14ac:dyDescent="1.75">
      <c r="A102" s="3">
        <v>1101</v>
      </c>
      <c r="B102" s="16" t="s">
        <v>32</v>
      </c>
      <c r="C102" s="10">
        <v>75.5</v>
      </c>
      <c r="D102" s="13"/>
      <c r="E102" s="9"/>
      <c r="F102" s="12">
        <v>95</v>
      </c>
      <c r="G102" s="4">
        <f>COUNT(C102:F102)</f>
        <v>2</v>
      </c>
      <c r="H102" s="5">
        <f>AVERAGEIF(C102:F102,"&gt;0")</f>
        <v>85.25</v>
      </c>
      <c r="I102" s="5" t="str">
        <f>IF(H102&gt;=90,"امتياز",IF(H102&gt;=80,"جيد جدا",IF(H102&gt;=70,"جيد","-")))</f>
        <v>جيد جدا</v>
      </c>
    </row>
    <row r="103" spans="1:9" ht="29" x14ac:dyDescent="1.75">
      <c r="A103" s="3">
        <v>1102</v>
      </c>
      <c r="B103" s="16" t="s">
        <v>51</v>
      </c>
      <c r="C103" s="10">
        <v>96.5</v>
      </c>
      <c r="D103" s="12"/>
      <c r="E103" s="10"/>
      <c r="F103" s="12"/>
      <c r="G103" s="4">
        <f>COUNT(C103:F103)</f>
        <v>1</v>
      </c>
      <c r="H103" s="5">
        <f>AVERAGEIF(C103:F103,"&gt;0")</f>
        <v>96.5</v>
      </c>
      <c r="I103" s="5" t="str">
        <f>IF(H103&gt;=90,"امتياز",IF(H103&gt;=80,"جيد جدا",IF(H103&gt;=70,"جيد","-")))</f>
        <v>امتياز</v>
      </c>
    </row>
    <row r="104" spans="1:9" ht="29" x14ac:dyDescent="1.75">
      <c r="A104" s="3">
        <v>1103</v>
      </c>
      <c r="B104" s="17" t="s">
        <v>199</v>
      </c>
      <c r="C104" s="9"/>
      <c r="D104" s="13"/>
      <c r="E104" s="9"/>
      <c r="F104" s="12">
        <v>95</v>
      </c>
      <c r="G104" s="4">
        <f>COUNT(C104:F104)</f>
        <v>1</v>
      </c>
      <c r="H104" s="5">
        <f>AVERAGEIF(C104:F104,"&gt;0")</f>
        <v>95</v>
      </c>
      <c r="I104" s="5" t="str">
        <f>IF(H104&gt;=90,"امتياز",IF(H104&gt;=80,"جيد جدا",IF(H104&gt;=70,"جيد","-")))</f>
        <v>امتياز</v>
      </c>
    </row>
    <row r="105" spans="1:9" ht="29" x14ac:dyDescent="1.75">
      <c r="A105" s="3">
        <v>1104</v>
      </c>
      <c r="B105" s="17" t="s">
        <v>147</v>
      </c>
      <c r="C105" s="9"/>
      <c r="D105" s="13"/>
      <c r="E105" s="9"/>
      <c r="F105" s="12">
        <v>75</v>
      </c>
      <c r="G105" s="4">
        <f>COUNT(C105:F105)</f>
        <v>1</v>
      </c>
      <c r="H105" s="5">
        <f>AVERAGEIF(C105:F105,"&gt;0")</f>
        <v>75</v>
      </c>
      <c r="I105" s="5" t="str">
        <f>IF(H105&gt;=90,"امتياز",IF(H105&gt;=80,"جيد جدا",IF(H105&gt;=70,"جيد","-")))</f>
        <v>جيد</v>
      </c>
    </row>
    <row r="106" spans="1:9" ht="29" x14ac:dyDescent="1.75">
      <c r="A106" s="3">
        <v>1105</v>
      </c>
      <c r="B106" s="16" t="s">
        <v>93</v>
      </c>
      <c r="C106" s="9"/>
      <c r="D106" s="13"/>
      <c r="E106" s="10">
        <v>70</v>
      </c>
      <c r="F106" s="12">
        <v>86</v>
      </c>
      <c r="G106" s="4">
        <f>COUNT(C106:F106)</f>
        <v>2</v>
      </c>
      <c r="H106" s="5">
        <f>AVERAGEIF(C106:F106,"&gt;0")</f>
        <v>78</v>
      </c>
      <c r="I106" s="5" t="str">
        <f>IF(H106&gt;=90,"امتياز",IF(H106&gt;=80,"جيد جدا",IF(H106&gt;=70,"جيد","-")))</f>
        <v>جيد</v>
      </c>
    </row>
    <row r="107" spans="1:9" ht="29" x14ac:dyDescent="1.75">
      <c r="A107" s="3">
        <v>1106</v>
      </c>
      <c r="B107" s="16" t="s">
        <v>200</v>
      </c>
      <c r="C107" s="10">
        <v>93</v>
      </c>
      <c r="D107" s="12">
        <v>95.5</v>
      </c>
      <c r="E107" s="10">
        <v>96.5</v>
      </c>
      <c r="F107" s="12">
        <v>94.5</v>
      </c>
      <c r="G107" s="4">
        <f>COUNT(C107:F107)</f>
        <v>4</v>
      </c>
      <c r="H107" s="5">
        <f>AVERAGEIF(C107:F107,"&gt;0")</f>
        <v>94.875</v>
      </c>
      <c r="I107" s="5" t="str">
        <f>IF(H107&gt;=90,"امتياز",IF(H107&gt;=80,"جيد جدا",IF(H107&gt;=70,"جيد","-")))</f>
        <v>امتياز</v>
      </c>
    </row>
    <row r="108" spans="1:9" ht="29" x14ac:dyDescent="1.75">
      <c r="A108" s="3">
        <v>1107</v>
      </c>
      <c r="B108" s="17" t="s">
        <v>137</v>
      </c>
      <c r="C108" s="9"/>
      <c r="D108" s="13"/>
      <c r="E108" s="9"/>
      <c r="F108" s="12">
        <v>92</v>
      </c>
      <c r="G108" s="4">
        <f>COUNT(C108:F108)</f>
        <v>1</v>
      </c>
      <c r="H108" s="5">
        <f>AVERAGEIF(C108:F108,"&gt;0")</f>
        <v>92</v>
      </c>
      <c r="I108" s="5" t="str">
        <f>IF(H108&gt;=90,"امتياز",IF(H108&gt;=80,"جيد جدا",IF(H108&gt;=70,"جيد","-")))</f>
        <v>امتياز</v>
      </c>
    </row>
    <row r="109" spans="1:9" ht="29" x14ac:dyDescent="1.75">
      <c r="A109" s="3">
        <v>1108</v>
      </c>
      <c r="B109" s="16" t="s">
        <v>102</v>
      </c>
      <c r="C109" s="9"/>
      <c r="D109" s="12">
        <v>99</v>
      </c>
      <c r="E109" s="10">
        <v>94</v>
      </c>
      <c r="F109" s="12">
        <v>94</v>
      </c>
      <c r="G109" s="4">
        <f>COUNT(C109:F109)</f>
        <v>3</v>
      </c>
      <c r="H109" s="5">
        <f>AVERAGEIF(C109:F109,"&gt;0")</f>
        <v>95.666666666666671</v>
      </c>
      <c r="I109" s="5" t="str">
        <f>IF(H109&gt;=90,"امتياز",IF(H109&gt;=80,"جيد جدا",IF(H109&gt;=70,"جيد","-")))</f>
        <v>امتياز</v>
      </c>
    </row>
    <row r="110" spans="1:9" ht="29" x14ac:dyDescent="1.75">
      <c r="A110" s="3">
        <v>1109</v>
      </c>
      <c r="B110" s="16" t="s">
        <v>107</v>
      </c>
      <c r="C110" s="10">
        <v>75</v>
      </c>
      <c r="D110" s="14">
        <v>85</v>
      </c>
      <c r="E110" s="10">
        <v>82</v>
      </c>
      <c r="F110" s="12"/>
      <c r="G110" s="4">
        <f>COUNT(C110:F110)</f>
        <v>3</v>
      </c>
      <c r="H110" s="5">
        <f>AVERAGEIF(C110:F110,"&gt;0")</f>
        <v>80.666666666666671</v>
      </c>
      <c r="I110" s="5" t="str">
        <f>IF(H110&gt;=90,"امتياز",IF(H110&gt;=80,"جيد جدا",IF(H110&gt;=70,"جيد","-")))</f>
        <v>جيد جدا</v>
      </c>
    </row>
    <row r="111" spans="1:9" ht="29" x14ac:dyDescent="1.75">
      <c r="A111" s="3">
        <v>1110</v>
      </c>
      <c r="B111" s="16" t="s">
        <v>73</v>
      </c>
      <c r="C111" s="10">
        <v>91.5</v>
      </c>
      <c r="D111" s="12">
        <v>96.5</v>
      </c>
      <c r="E111" s="10"/>
      <c r="F111" s="12">
        <v>99</v>
      </c>
      <c r="G111" s="4">
        <f>COUNT(C111:F111)</f>
        <v>3</v>
      </c>
      <c r="H111" s="5">
        <f>AVERAGEIF(C111:F111,"&gt;0")</f>
        <v>95.666666666666671</v>
      </c>
      <c r="I111" s="5" t="str">
        <f>IF(H111&gt;=90,"امتياز",IF(H111&gt;=80,"جيد جدا",IF(H111&gt;=70,"جيد","-")))</f>
        <v>امتياز</v>
      </c>
    </row>
    <row r="112" spans="1:9" ht="29" x14ac:dyDescent="1.75">
      <c r="A112" s="3">
        <v>1111</v>
      </c>
      <c r="B112" s="16" t="s">
        <v>74</v>
      </c>
      <c r="C112" s="10">
        <v>82</v>
      </c>
      <c r="D112" s="12">
        <v>88</v>
      </c>
      <c r="E112" s="10">
        <v>55</v>
      </c>
      <c r="F112" s="12">
        <v>83.5</v>
      </c>
      <c r="G112" s="4">
        <f>COUNT(C112:F112)</f>
        <v>4</v>
      </c>
      <c r="H112" s="5">
        <f>AVERAGEIF(C112:F112,"&gt;0")</f>
        <v>77.125</v>
      </c>
      <c r="I112" s="5" t="str">
        <f>IF(H112&gt;=90,"امتياز",IF(H112&gt;=80,"جيد جدا",IF(H112&gt;=70,"جيد","-")))</f>
        <v>جيد</v>
      </c>
    </row>
    <row r="113" spans="1:9" ht="29" x14ac:dyDescent="1.75">
      <c r="A113" s="3">
        <v>1112</v>
      </c>
      <c r="B113" s="16" t="s">
        <v>52</v>
      </c>
      <c r="C113" s="10">
        <v>94</v>
      </c>
      <c r="D113" s="12">
        <v>95</v>
      </c>
      <c r="E113" s="10">
        <v>85</v>
      </c>
      <c r="F113" s="12"/>
      <c r="G113" s="4">
        <f>COUNT(C113:F113)</f>
        <v>3</v>
      </c>
      <c r="H113" s="5">
        <f>AVERAGEIF(C113:F113,"&gt;0")</f>
        <v>91.333333333333329</v>
      </c>
      <c r="I113" s="5" t="str">
        <f>IF(H113&gt;=90,"امتياز",IF(H113&gt;=80,"جيد جدا",IF(H113&gt;=70,"جيد","-")))</f>
        <v>امتياز</v>
      </c>
    </row>
    <row r="114" spans="1:9" ht="29" x14ac:dyDescent="1.75">
      <c r="A114" s="3">
        <v>1113</v>
      </c>
      <c r="B114" s="17" t="s">
        <v>130</v>
      </c>
      <c r="C114" s="9"/>
      <c r="D114" s="13"/>
      <c r="E114" s="9"/>
      <c r="F114" s="12">
        <v>96.5</v>
      </c>
      <c r="G114" s="4">
        <f>COUNT(C114:F114)</f>
        <v>1</v>
      </c>
      <c r="H114" s="5">
        <f>AVERAGEIF(C114:F114,"&gt;0")</f>
        <v>96.5</v>
      </c>
      <c r="I114" s="5" t="str">
        <f>IF(H114&gt;=90,"امتياز",IF(H114&gt;=80,"جيد جدا",IF(H114&gt;=70,"جيد","-")))</f>
        <v>امتياز</v>
      </c>
    </row>
    <row r="115" spans="1:9" ht="29" x14ac:dyDescent="1.75">
      <c r="A115" s="3">
        <v>1114</v>
      </c>
      <c r="B115" s="16" t="s">
        <v>169</v>
      </c>
      <c r="C115" s="9"/>
      <c r="D115" s="13"/>
      <c r="E115" s="10">
        <v>77</v>
      </c>
      <c r="F115" s="12"/>
      <c r="G115" s="4">
        <f>COUNT(C115:F115)</f>
        <v>1</v>
      </c>
      <c r="H115" s="5">
        <f>AVERAGEIF(C115:F115,"&gt;0")</f>
        <v>77</v>
      </c>
      <c r="I115" s="5" t="str">
        <f>IF(H115&gt;=90,"امتياز",IF(H115&gt;=80,"جيد جدا",IF(H115&gt;=70,"جيد","-")))</f>
        <v>جيد</v>
      </c>
    </row>
    <row r="116" spans="1:9" ht="29" x14ac:dyDescent="1.75">
      <c r="A116" s="3">
        <v>1115</v>
      </c>
      <c r="B116" s="16" t="s">
        <v>75</v>
      </c>
      <c r="C116" s="9"/>
      <c r="D116" s="12">
        <v>92.5</v>
      </c>
      <c r="E116" s="10">
        <v>85</v>
      </c>
      <c r="F116" s="12"/>
      <c r="G116" s="4">
        <f>COUNT(C116:F116)</f>
        <v>2</v>
      </c>
      <c r="H116" s="5">
        <f>AVERAGEIF(C116:F116,"&gt;0")</f>
        <v>88.75</v>
      </c>
      <c r="I116" s="5" t="str">
        <f>IF(H116&gt;=90,"امتياز",IF(H116&gt;=80,"جيد جدا",IF(H116&gt;=70,"جيد","-")))</f>
        <v>جيد جدا</v>
      </c>
    </row>
    <row r="117" spans="1:9" ht="29" x14ac:dyDescent="1.75">
      <c r="A117" s="3">
        <v>1116</v>
      </c>
      <c r="B117" s="18" t="s">
        <v>76</v>
      </c>
      <c r="C117" s="10">
        <v>93</v>
      </c>
      <c r="D117" s="14">
        <v>94</v>
      </c>
      <c r="E117" s="10">
        <v>96</v>
      </c>
      <c r="F117" s="14"/>
      <c r="G117" s="4">
        <f>COUNT(C117:F117)</f>
        <v>3</v>
      </c>
      <c r="H117" s="5">
        <f>AVERAGEIF(C117:F117,"&gt;0")</f>
        <v>94.333333333333329</v>
      </c>
      <c r="I117" s="5" t="str">
        <f>IF(H117&gt;=90,"امتياز",IF(H117&gt;=80,"جيد جدا",IF(H117&gt;=70,"جيد","-")))</f>
        <v>امتياز</v>
      </c>
    </row>
    <row r="118" spans="1:9" ht="29" x14ac:dyDescent="1.75">
      <c r="A118" s="3">
        <v>1117</v>
      </c>
      <c r="B118" s="17" t="s">
        <v>201</v>
      </c>
      <c r="C118" s="9"/>
      <c r="D118" s="13"/>
      <c r="E118" s="9"/>
      <c r="F118" s="12">
        <v>95</v>
      </c>
      <c r="G118" s="4">
        <f>COUNT(C118:F118)</f>
        <v>1</v>
      </c>
      <c r="H118" s="5">
        <f>AVERAGEIF(C118:F118,"&gt;0")</f>
        <v>95</v>
      </c>
      <c r="I118" s="5" t="str">
        <f>IF(H118&gt;=90,"امتياز",IF(H118&gt;=80,"جيد جدا",IF(H118&gt;=70,"جيد","-")))</f>
        <v>امتياز</v>
      </c>
    </row>
    <row r="119" spans="1:9" ht="29" x14ac:dyDescent="1.75">
      <c r="A119" s="3">
        <v>1118</v>
      </c>
      <c r="B119" s="16" t="s">
        <v>77</v>
      </c>
      <c r="C119" s="10">
        <v>97</v>
      </c>
      <c r="D119" s="12">
        <v>96</v>
      </c>
      <c r="E119" s="10">
        <v>91</v>
      </c>
      <c r="F119" s="12"/>
      <c r="G119" s="4">
        <f>COUNT(C119:F119)</f>
        <v>3</v>
      </c>
      <c r="H119" s="5">
        <f>AVERAGEIF(C119:F119,"&gt;0")</f>
        <v>94.666666666666671</v>
      </c>
      <c r="I119" s="5" t="str">
        <f>IF(H119&gt;=90,"امتياز",IF(H119&gt;=80,"جيد جدا",IF(H119&gt;=70,"جيد","-")))</f>
        <v>امتياز</v>
      </c>
    </row>
    <row r="120" spans="1:9" ht="29" x14ac:dyDescent="1.75">
      <c r="A120" s="3">
        <v>1119</v>
      </c>
      <c r="B120" s="18" t="s">
        <v>78</v>
      </c>
      <c r="C120" s="10">
        <v>79</v>
      </c>
      <c r="D120" s="14">
        <v>88</v>
      </c>
      <c r="E120" s="10">
        <v>77</v>
      </c>
      <c r="F120" s="14"/>
      <c r="G120" s="4">
        <f>COUNT(C120:F120)</f>
        <v>3</v>
      </c>
      <c r="H120" s="5">
        <f>AVERAGEIF(C120:F120,"&gt;0")</f>
        <v>81.333333333333329</v>
      </c>
      <c r="I120" s="5" t="str">
        <f>IF(H120&gt;=90,"امتياز",IF(H120&gt;=80,"جيد جدا",IF(H120&gt;=70,"جيد","-")))</f>
        <v>جيد جدا</v>
      </c>
    </row>
    <row r="121" spans="1:9" ht="29" x14ac:dyDescent="1.75">
      <c r="A121" s="3">
        <v>1120</v>
      </c>
      <c r="B121" s="17" t="s">
        <v>125</v>
      </c>
      <c r="C121" s="9"/>
      <c r="D121" s="13"/>
      <c r="E121" s="9"/>
      <c r="F121" s="12">
        <v>52</v>
      </c>
      <c r="G121" s="4">
        <f>COUNT(C121:F121)</f>
        <v>1</v>
      </c>
      <c r="H121" s="5">
        <f>AVERAGEIF(C121:F121,"&gt;0")</f>
        <v>52</v>
      </c>
      <c r="I121" s="5" t="str">
        <f>IF(H121&gt;=90,"امتياز",IF(H121&gt;=80,"جيد جدا",IF(H121&gt;=70,"جيد","-")))</f>
        <v>-</v>
      </c>
    </row>
    <row r="122" spans="1:9" ht="29" x14ac:dyDescent="1.75">
      <c r="A122" s="3">
        <v>1121</v>
      </c>
      <c r="B122" s="17" t="s">
        <v>127</v>
      </c>
      <c r="C122" s="9"/>
      <c r="D122" s="12">
        <v>92</v>
      </c>
      <c r="E122" s="9"/>
      <c r="F122" s="12">
        <v>95</v>
      </c>
      <c r="G122" s="4">
        <f>COUNT(C122:F122)</f>
        <v>2</v>
      </c>
      <c r="H122" s="5">
        <f>AVERAGEIF(C122:F122,"&gt;0")</f>
        <v>93.5</v>
      </c>
      <c r="I122" s="5" t="str">
        <f>IF(H122&gt;=90,"امتياز",IF(H122&gt;=80,"جيد جدا",IF(H122&gt;=70,"جيد","-")))</f>
        <v>امتياز</v>
      </c>
    </row>
    <row r="123" spans="1:9" ht="29" x14ac:dyDescent="1.75">
      <c r="A123" s="3">
        <v>1122</v>
      </c>
      <c r="B123" s="17" t="s">
        <v>148</v>
      </c>
      <c r="C123" s="9"/>
      <c r="D123" s="13"/>
      <c r="E123" s="9"/>
      <c r="F123" s="12">
        <v>77.5</v>
      </c>
      <c r="G123" s="4">
        <f>COUNT(C123:F123)</f>
        <v>1</v>
      </c>
      <c r="H123" s="5">
        <f>AVERAGEIF(C123:F123,"&gt;0")</f>
        <v>77.5</v>
      </c>
      <c r="I123" s="5" t="str">
        <f>IF(H123&gt;=90,"امتياز",IF(H123&gt;=80,"جيد جدا",IF(H123&gt;=70,"جيد","-")))</f>
        <v>جيد</v>
      </c>
    </row>
    <row r="124" spans="1:9" ht="29" x14ac:dyDescent="1.75">
      <c r="A124" s="3">
        <v>1124</v>
      </c>
      <c r="B124" s="17" t="s">
        <v>129</v>
      </c>
      <c r="C124" s="9"/>
      <c r="D124" s="13"/>
      <c r="E124" s="9"/>
      <c r="F124" s="12">
        <v>100</v>
      </c>
      <c r="G124" s="4">
        <f>COUNT(C124:F124)</f>
        <v>1</v>
      </c>
      <c r="H124" s="5">
        <f>AVERAGEIF(C124:F124,"&gt;0")</f>
        <v>100</v>
      </c>
      <c r="I124" s="5" t="str">
        <f>IF(H124&gt;=90,"امتياز",IF(H124&gt;=80,"جيد جدا",IF(H124&gt;=70,"جيد","-")))</f>
        <v>امتياز</v>
      </c>
    </row>
    <row r="125" spans="1:9" ht="29" x14ac:dyDescent="1.75">
      <c r="A125" s="3">
        <v>1125</v>
      </c>
      <c r="B125" s="16" t="s">
        <v>170</v>
      </c>
      <c r="C125" s="10">
        <v>97.5</v>
      </c>
      <c r="D125" s="12">
        <v>100</v>
      </c>
      <c r="E125" s="10">
        <v>98</v>
      </c>
      <c r="F125" s="12"/>
      <c r="G125" s="4">
        <f>COUNT(C125:F125)</f>
        <v>3</v>
      </c>
      <c r="H125" s="5">
        <f>AVERAGEIF(C125:F125,"&gt;0")</f>
        <v>98.5</v>
      </c>
      <c r="I125" s="5" t="str">
        <f>IF(H125&gt;=90,"امتياز",IF(H125&gt;=80,"جيد جدا",IF(H125&gt;=70,"جيد","-")))</f>
        <v>امتياز</v>
      </c>
    </row>
    <row r="126" spans="1:9" ht="29" x14ac:dyDescent="1.75">
      <c r="A126" s="3">
        <v>1126</v>
      </c>
      <c r="B126" s="17" t="s">
        <v>202</v>
      </c>
      <c r="C126" s="9"/>
      <c r="D126" s="13"/>
      <c r="E126" s="9"/>
      <c r="F126" s="12">
        <v>39</v>
      </c>
      <c r="G126" s="4">
        <f>COUNT(C126:F126)</f>
        <v>1</v>
      </c>
      <c r="H126" s="5">
        <f>AVERAGEIF(C126:F126,"&gt;0")</f>
        <v>39</v>
      </c>
      <c r="I126" s="5" t="str">
        <f>IF(H126&gt;=90,"امتياز",IF(H126&gt;=80,"جيد جدا",IF(H126&gt;=70,"جيد","-")))</f>
        <v>-</v>
      </c>
    </row>
    <row r="127" spans="1:9" ht="29" x14ac:dyDescent="1.75">
      <c r="A127" s="3">
        <v>1127</v>
      </c>
      <c r="B127" s="16" t="s">
        <v>79</v>
      </c>
      <c r="C127" s="10">
        <v>93</v>
      </c>
      <c r="D127" s="12">
        <v>98.5</v>
      </c>
      <c r="E127" s="10">
        <v>91</v>
      </c>
      <c r="F127" s="12">
        <v>96.5</v>
      </c>
      <c r="G127" s="4">
        <f>COUNT(C127:F127)</f>
        <v>4</v>
      </c>
      <c r="H127" s="5">
        <f>AVERAGEIF(C127:F127,"&gt;0")</f>
        <v>94.75</v>
      </c>
      <c r="I127" s="5" t="str">
        <f>IF(H127&gt;=90,"امتياز",IF(H127&gt;=80,"جيد جدا",IF(H127&gt;=70,"جيد","-")))</f>
        <v>امتياز</v>
      </c>
    </row>
    <row r="128" spans="1:9" ht="29" x14ac:dyDescent="1.75">
      <c r="A128" s="3">
        <v>1128</v>
      </c>
      <c r="B128" s="16" t="s">
        <v>7</v>
      </c>
      <c r="C128" s="10">
        <v>91</v>
      </c>
      <c r="D128" s="14">
        <v>93</v>
      </c>
      <c r="E128" s="10">
        <v>95</v>
      </c>
      <c r="F128" s="12"/>
      <c r="G128" s="4">
        <f>COUNT(C128:F128)</f>
        <v>3</v>
      </c>
      <c r="H128" s="5">
        <f>AVERAGEIF(C128:F128,"&gt;0")</f>
        <v>93</v>
      </c>
      <c r="I128" s="5" t="str">
        <f>IF(H128&gt;=90,"امتياز",IF(H128&gt;=80,"جيد جدا",IF(H128&gt;=70,"جيد","-")))</f>
        <v>امتياز</v>
      </c>
    </row>
    <row r="129" spans="1:9" ht="29" x14ac:dyDescent="1.75">
      <c r="A129" s="3">
        <v>1129</v>
      </c>
      <c r="B129" s="17" t="s">
        <v>203</v>
      </c>
      <c r="C129" s="9"/>
      <c r="D129" s="13"/>
      <c r="E129" s="9"/>
      <c r="F129" s="12">
        <v>91</v>
      </c>
      <c r="G129" s="4">
        <f>COUNT(C129:F129)</f>
        <v>1</v>
      </c>
      <c r="H129" s="5">
        <f>AVERAGEIF(C129:F129,"&gt;0")</f>
        <v>91</v>
      </c>
      <c r="I129" s="5" t="str">
        <f>IF(H129&gt;=90,"امتياز",IF(H129&gt;=80,"جيد جدا",IF(H129&gt;=70,"جيد","-")))</f>
        <v>امتياز</v>
      </c>
    </row>
    <row r="130" spans="1:9" ht="29" x14ac:dyDescent="1.75">
      <c r="A130" s="3">
        <v>1130</v>
      </c>
      <c r="B130" s="16" t="s">
        <v>4</v>
      </c>
      <c r="C130" s="10">
        <v>98</v>
      </c>
      <c r="D130" s="12">
        <v>99</v>
      </c>
      <c r="E130" s="10">
        <v>99</v>
      </c>
      <c r="F130" s="12"/>
      <c r="G130" s="4">
        <f>COUNT(C130:F130)</f>
        <v>3</v>
      </c>
      <c r="H130" s="5">
        <f>AVERAGEIF(C130:F130,"&gt;0")</f>
        <v>98.666666666666671</v>
      </c>
      <c r="I130" s="5" t="str">
        <f>IF(H130&gt;=90,"امتياز",IF(H130&gt;=80,"جيد جدا",IF(H130&gt;=70,"جيد","-")))</f>
        <v>امتياز</v>
      </c>
    </row>
    <row r="131" spans="1:9" ht="29" x14ac:dyDescent="1.75">
      <c r="A131" s="3">
        <v>1131</v>
      </c>
      <c r="B131" s="16" t="s">
        <v>5</v>
      </c>
      <c r="C131" s="10">
        <v>71</v>
      </c>
      <c r="D131" s="12"/>
      <c r="E131" s="10"/>
      <c r="F131" s="12"/>
      <c r="G131" s="4">
        <f>COUNT(C131:F131)</f>
        <v>1</v>
      </c>
      <c r="H131" s="5">
        <f>AVERAGEIF(C131:F131,"&gt;0")</f>
        <v>71</v>
      </c>
      <c r="I131" s="5" t="str">
        <f>IF(H131&gt;=90,"امتياز",IF(H131&gt;=80,"جيد جدا",IF(H131&gt;=70,"جيد","-")))</f>
        <v>جيد</v>
      </c>
    </row>
    <row r="132" spans="1:9" ht="29" x14ac:dyDescent="1.75">
      <c r="A132" s="3">
        <v>1132</v>
      </c>
      <c r="B132" s="16" t="s">
        <v>37</v>
      </c>
      <c r="C132" s="10">
        <v>93</v>
      </c>
      <c r="D132" s="12"/>
      <c r="E132" s="10"/>
      <c r="F132" s="12"/>
      <c r="G132" s="4">
        <f>COUNT(C132:F132)</f>
        <v>1</v>
      </c>
      <c r="H132" s="5">
        <f>AVERAGEIF(C132:F132,"&gt;0")</f>
        <v>93</v>
      </c>
      <c r="I132" s="5" t="str">
        <f>IF(H132&gt;=90,"امتياز",IF(H132&gt;=80,"جيد جدا",IF(H132&gt;=70,"جيد","-")))</f>
        <v>امتياز</v>
      </c>
    </row>
    <row r="133" spans="1:9" ht="29" x14ac:dyDescent="1.75">
      <c r="A133" s="3">
        <v>1133</v>
      </c>
      <c r="B133" s="16" t="s">
        <v>20</v>
      </c>
      <c r="C133" s="10">
        <v>65</v>
      </c>
      <c r="D133" s="12"/>
      <c r="E133" s="10"/>
      <c r="F133" s="12"/>
      <c r="G133" s="4">
        <f>COUNT(C133:F133)</f>
        <v>1</v>
      </c>
      <c r="H133" s="5">
        <f>AVERAGEIF(C133:F133,"&gt;0")</f>
        <v>65</v>
      </c>
      <c r="I133" s="5" t="str">
        <f>IF(H133&gt;=90,"امتياز",IF(H133&gt;=80,"جيد جدا",IF(H133&gt;=70,"جيد","-")))</f>
        <v>-</v>
      </c>
    </row>
    <row r="134" spans="1:9" ht="29" x14ac:dyDescent="1.75">
      <c r="A134" s="3">
        <v>1134</v>
      </c>
      <c r="B134" s="16" t="s">
        <v>171</v>
      </c>
      <c r="C134" s="10">
        <v>88</v>
      </c>
      <c r="D134" s="12"/>
      <c r="E134" s="10">
        <v>66.5</v>
      </c>
      <c r="F134" s="12"/>
      <c r="G134" s="4">
        <f>COUNT(C134:F134)</f>
        <v>2</v>
      </c>
      <c r="H134" s="5">
        <f>AVERAGEIF(C134:F134,"&gt;0")</f>
        <v>77.25</v>
      </c>
      <c r="I134" s="5" t="str">
        <f>IF(H134&gt;=90,"امتياز",IF(H134&gt;=80,"جيد جدا",IF(H134&gt;=70,"جيد","-")))</f>
        <v>جيد</v>
      </c>
    </row>
    <row r="135" spans="1:9" ht="29" x14ac:dyDescent="1.75">
      <c r="A135" s="3">
        <v>1135</v>
      </c>
      <c r="B135" s="16" t="s">
        <v>45</v>
      </c>
      <c r="C135" s="10">
        <v>66.5</v>
      </c>
      <c r="D135" s="12"/>
      <c r="E135" s="10"/>
      <c r="F135" s="12"/>
      <c r="G135" s="4">
        <f>COUNT(C135:F135)</f>
        <v>1</v>
      </c>
      <c r="H135" s="5">
        <f>AVERAGEIF(C135:F135,"&gt;0")</f>
        <v>66.5</v>
      </c>
      <c r="I135" s="5" t="str">
        <f>IF(H135&gt;=90,"امتياز",IF(H135&gt;=80,"جيد جدا",IF(H135&gt;=70,"جيد","-")))</f>
        <v>-</v>
      </c>
    </row>
    <row r="136" spans="1:9" ht="29" x14ac:dyDescent="1.75">
      <c r="A136" s="3">
        <v>1136</v>
      </c>
      <c r="B136" s="16" t="s">
        <v>42</v>
      </c>
      <c r="C136" s="10">
        <v>79</v>
      </c>
      <c r="D136" s="12">
        <v>97</v>
      </c>
      <c r="E136" s="10">
        <v>93</v>
      </c>
      <c r="F136" s="12">
        <v>93</v>
      </c>
      <c r="G136" s="4">
        <f>COUNT(C136:F136)</f>
        <v>4</v>
      </c>
      <c r="H136" s="5">
        <f>AVERAGEIF(C136:F136,"&gt;0")</f>
        <v>90.5</v>
      </c>
      <c r="I136" s="5" t="str">
        <f>IF(H136&gt;=90,"امتياز",IF(H136&gt;=80,"جيد جدا",IF(H136&gt;=70,"جيد","-")))</f>
        <v>امتياز</v>
      </c>
    </row>
    <row r="137" spans="1:9" ht="29" x14ac:dyDescent="1.75">
      <c r="A137" s="3">
        <v>1137</v>
      </c>
      <c r="B137" s="16" t="s">
        <v>9</v>
      </c>
      <c r="C137" s="10">
        <v>71</v>
      </c>
      <c r="D137" s="12"/>
      <c r="E137" s="10"/>
      <c r="F137" s="12"/>
      <c r="G137" s="4">
        <f>COUNT(C137:F137)</f>
        <v>1</v>
      </c>
      <c r="H137" s="5">
        <f>AVERAGEIF(C137:F137,"&gt;0")</f>
        <v>71</v>
      </c>
      <c r="I137" s="5" t="str">
        <f>IF(H137&gt;=90,"امتياز",IF(H137&gt;=80,"جيد جدا",IF(H137&gt;=70,"جيد","-")))</f>
        <v>جيد</v>
      </c>
    </row>
    <row r="138" spans="1:9" ht="29" x14ac:dyDescent="1.75">
      <c r="A138" s="3">
        <v>1138</v>
      </c>
      <c r="B138" s="16" t="s">
        <v>8</v>
      </c>
      <c r="C138" s="10">
        <v>91</v>
      </c>
      <c r="D138" s="14">
        <v>93.5</v>
      </c>
      <c r="E138" s="10">
        <v>96</v>
      </c>
      <c r="F138" s="14"/>
      <c r="G138" s="4">
        <f>COUNT(C138:F138)</f>
        <v>3</v>
      </c>
      <c r="H138" s="5">
        <f>AVERAGEIF(C138:F138,"&gt;0")</f>
        <v>93.5</v>
      </c>
      <c r="I138" s="5" t="str">
        <f>IF(H138&gt;=90,"امتياز",IF(H138&gt;=80,"جيد جدا",IF(H138&gt;=70,"جيد","-")))</f>
        <v>امتياز</v>
      </c>
    </row>
    <row r="139" spans="1:9" ht="29" x14ac:dyDescent="1.75">
      <c r="A139" s="3">
        <v>1139</v>
      </c>
      <c r="B139" s="17" t="s">
        <v>146</v>
      </c>
      <c r="C139" s="9"/>
      <c r="D139" s="13"/>
      <c r="E139" s="9"/>
      <c r="F139" s="12">
        <v>95</v>
      </c>
      <c r="G139" s="4">
        <f>COUNT(C139:F139)</f>
        <v>1</v>
      </c>
      <c r="H139" s="5">
        <f>AVERAGEIF(C139:F139,"&gt;0")</f>
        <v>95</v>
      </c>
      <c r="I139" s="5" t="str">
        <f>IF(H139&gt;=90,"امتياز",IF(H139&gt;=80,"جيد جدا",IF(H139&gt;=70,"جيد","-")))</f>
        <v>امتياز</v>
      </c>
    </row>
    <row r="140" spans="1:9" ht="29" x14ac:dyDescent="1.75">
      <c r="A140" s="3">
        <v>1140</v>
      </c>
      <c r="B140" s="17" t="s">
        <v>172</v>
      </c>
      <c r="C140" s="9"/>
      <c r="D140" s="13"/>
      <c r="E140" s="9"/>
      <c r="F140" s="12">
        <v>36</v>
      </c>
      <c r="G140" s="4">
        <f>COUNT(C140:F140)</f>
        <v>1</v>
      </c>
      <c r="H140" s="5">
        <f>AVERAGEIF(C140:F140,"&gt;0")</f>
        <v>36</v>
      </c>
      <c r="I140" s="5" t="str">
        <f>IF(H140&gt;=90,"امتياز",IF(H140&gt;=80,"جيد جدا",IF(H140&gt;=70,"جيد","-")))</f>
        <v>-</v>
      </c>
    </row>
    <row r="141" spans="1:9" ht="29" x14ac:dyDescent="1.75">
      <c r="A141" s="3">
        <v>1141</v>
      </c>
      <c r="B141" s="17" t="s">
        <v>115</v>
      </c>
      <c r="C141" s="9"/>
      <c r="D141" s="13"/>
      <c r="E141" s="9"/>
      <c r="F141" s="12">
        <v>51</v>
      </c>
      <c r="G141" s="4">
        <f>COUNT(C141:F141)</f>
        <v>1</v>
      </c>
      <c r="H141" s="5">
        <f>AVERAGEIF(C141:F141,"&gt;0")</f>
        <v>51</v>
      </c>
      <c r="I141" s="5" t="str">
        <f>IF(H141&gt;=90,"امتياز",IF(H141&gt;=80,"جيد جدا",IF(H141&gt;=70,"جيد","-")))</f>
        <v>-</v>
      </c>
    </row>
    <row r="142" spans="1:9" ht="29" x14ac:dyDescent="1.75">
      <c r="A142" s="3">
        <v>1142</v>
      </c>
      <c r="B142" s="17" t="s">
        <v>131</v>
      </c>
      <c r="C142" s="9"/>
      <c r="D142" s="13"/>
      <c r="E142" s="9"/>
      <c r="F142" s="12">
        <v>93</v>
      </c>
      <c r="G142" s="4">
        <f>COUNT(C142:F142)</f>
        <v>1</v>
      </c>
      <c r="H142" s="5">
        <f>AVERAGEIF(C142:F142,"&gt;0")</f>
        <v>93</v>
      </c>
      <c r="I142" s="5" t="str">
        <f>IF(H142&gt;=90,"امتياز",IF(H142&gt;=80,"جيد جدا",IF(H142&gt;=70,"جيد","-")))</f>
        <v>امتياز</v>
      </c>
    </row>
    <row r="143" spans="1:9" ht="29" x14ac:dyDescent="1.75">
      <c r="A143" s="3">
        <v>1143</v>
      </c>
      <c r="B143" s="17" t="s">
        <v>173</v>
      </c>
      <c r="C143" s="9"/>
      <c r="D143" s="13"/>
      <c r="E143" s="9"/>
      <c r="F143" s="12">
        <v>94</v>
      </c>
      <c r="G143" s="4">
        <f>COUNT(C143:F143)</f>
        <v>1</v>
      </c>
      <c r="H143" s="5">
        <f>AVERAGEIF(C143:F143,"&gt;0")</f>
        <v>94</v>
      </c>
      <c r="I143" s="5" t="str">
        <f>IF(H143&gt;=90,"امتياز",IF(H143&gt;=80,"جيد جدا",IF(H143&gt;=70,"جيد","-")))</f>
        <v>امتياز</v>
      </c>
    </row>
    <row r="144" spans="1:9" ht="29" x14ac:dyDescent="1.75">
      <c r="A144" s="3">
        <v>1144</v>
      </c>
      <c r="B144" s="16" t="s">
        <v>80</v>
      </c>
      <c r="C144" s="10">
        <v>97.5</v>
      </c>
      <c r="D144" s="12">
        <v>100</v>
      </c>
      <c r="E144" s="10">
        <v>99.5</v>
      </c>
      <c r="F144" s="12">
        <v>97</v>
      </c>
      <c r="G144" s="4">
        <f>COUNT(C144:F144)</f>
        <v>4</v>
      </c>
      <c r="H144" s="5">
        <f>AVERAGEIF(C144:F144,"&gt;0")</f>
        <v>98.5</v>
      </c>
      <c r="I144" s="5" t="str">
        <f>IF(H144&gt;=90,"امتياز",IF(H144&gt;=80,"جيد جدا",IF(H144&gt;=70,"جيد","-")))</f>
        <v>امتياز</v>
      </c>
    </row>
    <row r="145" spans="1:9" ht="29" x14ac:dyDescent="1.75">
      <c r="A145" s="3">
        <v>1145</v>
      </c>
      <c r="B145" s="16" t="s">
        <v>204</v>
      </c>
      <c r="C145" s="10">
        <v>87</v>
      </c>
      <c r="D145" s="12">
        <v>97</v>
      </c>
      <c r="E145" s="10">
        <v>83.5</v>
      </c>
      <c r="F145" s="12">
        <v>91</v>
      </c>
      <c r="G145" s="4">
        <f>COUNT(C145:F145)</f>
        <v>4</v>
      </c>
      <c r="H145" s="5">
        <f>AVERAGEIF(C145:F145,"&gt;0")</f>
        <v>89.625</v>
      </c>
      <c r="I145" s="5" t="str">
        <f>IF(H145&gt;=90,"امتياز",IF(H145&gt;=80,"جيد جدا",IF(H145&gt;=70,"جيد","-")))</f>
        <v>جيد جدا</v>
      </c>
    </row>
    <row r="146" spans="1:9" ht="29" x14ac:dyDescent="1.75">
      <c r="A146" s="3">
        <v>1146</v>
      </c>
      <c r="B146" s="16" t="s">
        <v>205</v>
      </c>
      <c r="C146" s="10">
        <v>94</v>
      </c>
      <c r="D146" s="12">
        <v>100</v>
      </c>
      <c r="E146" s="10">
        <v>97</v>
      </c>
      <c r="F146" s="12"/>
      <c r="G146" s="4">
        <f>COUNT(C146:F146)</f>
        <v>3</v>
      </c>
      <c r="H146" s="5">
        <f>AVERAGEIF(C146:F146,"&gt;0")</f>
        <v>97</v>
      </c>
      <c r="I146" s="5" t="str">
        <f>IF(H146&gt;=90,"امتياز",IF(H146&gt;=80,"جيد جدا",IF(H146&gt;=70,"جيد","-")))</f>
        <v>امتياز</v>
      </c>
    </row>
    <row r="147" spans="1:9" ht="29" x14ac:dyDescent="1.75">
      <c r="A147" s="3">
        <v>1147</v>
      </c>
      <c r="B147" s="16" t="s">
        <v>104</v>
      </c>
      <c r="C147" s="10">
        <v>76.5</v>
      </c>
      <c r="D147" s="12">
        <v>92</v>
      </c>
      <c r="E147" s="10">
        <v>86</v>
      </c>
      <c r="F147" s="12">
        <v>88.5</v>
      </c>
      <c r="G147" s="4">
        <f>COUNT(C147:F147)</f>
        <v>4</v>
      </c>
      <c r="H147" s="5">
        <f>AVERAGEIF(C147:F147,"&gt;0")</f>
        <v>85.75</v>
      </c>
      <c r="I147" s="5" t="str">
        <f>IF(H147&gt;=90,"امتياز",IF(H147&gt;=80,"جيد جدا",IF(H147&gt;=70,"جيد","-")))</f>
        <v>جيد جدا</v>
      </c>
    </row>
    <row r="148" spans="1:9" ht="29" x14ac:dyDescent="1.75">
      <c r="A148" s="3">
        <v>1148</v>
      </c>
      <c r="B148" s="16" t="s">
        <v>36</v>
      </c>
      <c r="C148" s="10">
        <v>70</v>
      </c>
      <c r="D148" s="12"/>
      <c r="E148" s="10"/>
      <c r="F148" s="12"/>
      <c r="G148" s="4">
        <f>COUNT(C148:F148)</f>
        <v>1</v>
      </c>
      <c r="H148" s="5">
        <f>AVERAGEIF(C148:F148,"&gt;0")</f>
        <v>70</v>
      </c>
      <c r="I148" s="5" t="str">
        <f>IF(H148&gt;=90,"امتياز",IF(H148&gt;=80,"جيد جدا",IF(H148&gt;=70,"جيد","-")))</f>
        <v>جيد</v>
      </c>
    </row>
    <row r="149" spans="1:9" ht="29" x14ac:dyDescent="1.75">
      <c r="A149" s="3">
        <v>1149</v>
      </c>
      <c r="B149" s="16" t="s">
        <v>31</v>
      </c>
      <c r="C149" s="10">
        <v>68</v>
      </c>
      <c r="D149" s="12"/>
      <c r="E149" s="10"/>
      <c r="F149" s="12"/>
      <c r="G149" s="4">
        <f>COUNT(C149:F149)</f>
        <v>1</v>
      </c>
      <c r="H149" s="5">
        <f>AVERAGEIF(C149:F149,"&gt;0")</f>
        <v>68</v>
      </c>
      <c r="I149" s="5" t="str">
        <f>IF(H149&gt;=90,"امتياز",IF(H149&gt;=80,"جيد جدا",IF(H149&gt;=70,"جيد","-")))</f>
        <v>-</v>
      </c>
    </row>
    <row r="150" spans="1:9" ht="58" x14ac:dyDescent="1.75">
      <c r="A150" s="3">
        <v>1150</v>
      </c>
      <c r="B150" s="16" t="s">
        <v>44</v>
      </c>
      <c r="C150" s="10">
        <v>93</v>
      </c>
      <c r="D150" s="13"/>
      <c r="E150" s="10">
        <v>89</v>
      </c>
      <c r="F150" s="12"/>
      <c r="G150" s="4">
        <f>COUNT(C150:F150)</f>
        <v>2</v>
      </c>
      <c r="H150" s="5">
        <f>AVERAGEIF(C150:F150,"&gt;0")</f>
        <v>91</v>
      </c>
      <c r="I150" s="5" t="str">
        <f>IF(H150&gt;=90,"امتياز",IF(H150&gt;=80,"جيد جدا",IF(H150&gt;=70,"جيد","-")))</f>
        <v>امتياز</v>
      </c>
    </row>
    <row r="151" spans="1:9" ht="29" x14ac:dyDescent="1.75">
      <c r="A151" s="3">
        <v>1151</v>
      </c>
      <c r="B151" s="17" t="s">
        <v>206</v>
      </c>
      <c r="C151" s="9"/>
      <c r="D151" s="13"/>
      <c r="E151" s="9"/>
      <c r="F151" s="12">
        <v>79</v>
      </c>
      <c r="G151" s="4">
        <f>COUNT(C151:F151)</f>
        <v>1</v>
      </c>
      <c r="H151" s="5">
        <f>AVERAGEIF(C151:F151,"&gt;0")</f>
        <v>79</v>
      </c>
      <c r="I151" s="5" t="str">
        <f>IF(H151&gt;=90,"امتياز",IF(H151&gt;=80,"جيد جدا",IF(H151&gt;=70,"جيد","-")))</f>
        <v>جيد</v>
      </c>
    </row>
    <row r="152" spans="1:9" ht="29" x14ac:dyDescent="1.75">
      <c r="A152" s="3">
        <v>1152</v>
      </c>
      <c r="B152" s="16" t="s">
        <v>109</v>
      </c>
      <c r="C152" s="9"/>
      <c r="D152" s="13"/>
      <c r="E152" s="10">
        <v>73</v>
      </c>
      <c r="F152" s="12"/>
      <c r="G152" s="4">
        <f>COUNT(C152:F152)</f>
        <v>1</v>
      </c>
      <c r="H152" s="5">
        <f>AVERAGEIF(C152:F152,"&gt;0")</f>
        <v>73</v>
      </c>
      <c r="I152" s="5" t="str">
        <f>IF(H152&gt;=90,"امتياز",IF(H152&gt;=80,"جيد جدا",IF(H152&gt;=70,"جيد","-")))</f>
        <v>جيد</v>
      </c>
    </row>
    <row r="153" spans="1:9" ht="29" x14ac:dyDescent="1.75">
      <c r="A153" s="3">
        <v>1153</v>
      </c>
      <c r="B153" s="17" t="s">
        <v>207</v>
      </c>
      <c r="C153" s="9"/>
      <c r="D153" s="13"/>
      <c r="E153" s="9"/>
      <c r="F153" s="12">
        <v>49</v>
      </c>
      <c r="G153" s="4">
        <f>COUNT(C153:F153)</f>
        <v>1</v>
      </c>
      <c r="H153" s="5">
        <f>AVERAGEIF(C153:F153,"&gt;0")</f>
        <v>49</v>
      </c>
      <c r="I153" s="5" t="str">
        <f>IF(H153&gt;=90,"امتياز",IF(H153&gt;=80,"جيد جدا",IF(H153&gt;=70,"جيد","-")))</f>
        <v>-</v>
      </c>
    </row>
    <row r="154" spans="1:9" ht="29" x14ac:dyDescent="1.75">
      <c r="A154" s="3">
        <v>1154</v>
      </c>
      <c r="B154" s="16" t="s">
        <v>81</v>
      </c>
      <c r="C154" s="9"/>
      <c r="D154" s="12">
        <v>100</v>
      </c>
      <c r="E154" s="10"/>
      <c r="F154" s="12">
        <v>98</v>
      </c>
      <c r="G154" s="4">
        <f>COUNT(C154:F154)</f>
        <v>2</v>
      </c>
      <c r="H154" s="5">
        <f>AVERAGEIF(C154:F154,"&gt;0")</f>
        <v>99</v>
      </c>
      <c r="I154" s="5" t="str">
        <f>IF(H154&gt;=90,"امتياز",IF(H154&gt;=80,"جيد جدا",IF(H154&gt;=70,"جيد","-")))</f>
        <v>امتياز</v>
      </c>
    </row>
    <row r="155" spans="1:9" ht="29" x14ac:dyDescent="1.75">
      <c r="A155" s="3">
        <v>1155</v>
      </c>
      <c r="B155" s="16" t="s">
        <v>1</v>
      </c>
      <c r="C155" s="10">
        <v>100</v>
      </c>
      <c r="D155" s="12">
        <v>99</v>
      </c>
      <c r="E155" s="10">
        <v>100</v>
      </c>
      <c r="F155" s="12"/>
      <c r="G155" s="4">
        <f>COUNT(C155:F155)</f>
        <v>3</v>
      </c>
      <c r="H155" s="5">
        <f>AVERAGEIF(C155:F155,"&gt;0")</f>
        <v>99.666666666666671</v>
      </c>
      <c r="I155" s="5" t="str">
        <f>IF(H155&gt;=90,"امتياز",IF(H155&gt;=80,"جيد جدا",IF(H155&gt;=70,"جيد","-")))</f>
        <v>امتياز</v>
      </c>
    </row>
    <row r="156" spans="1:9" ht="29" x14ac:dyDescent="1.75">
      <c r="A156" s="3">
        <v>1156</v>
      </c>
      <c r="B156" s="16" t="s">
        <v>244</v>
      </c>
      <c r="C156" s="10">
        <v>91.5</v>
      </c>
      <c r="D156" s="12">
        <v>94</v>
      </c>
      <c r="E156" s="10">
        <v>91.5</v>
      </c>
      <c r="F156" s="12">
        <v>91.5</v>
      </c>
      <c r="G156" s="4">
        <f>COUNT(C156:F156)</f>
        <v>4</v>
      </c>
      <c r="H156" s="5">
        <f>AVERAGEIF(C156:F156,"&gt;0")</f>
        <v>92.125</v>
      </c>
      <c r="I156" s="5" t="str">
        <f>IF(H156&gt;=90,"امتياز",IF(H156&gt;=80,"جيد جدا",IF(H156&gt;=70,"جيد","-")))</f>
        <v>امتياز</v>
      </c>
    </row>
    <row r="157" spans="1:9" ht="29" x14ac:dyDescent="1.75">
      <c r="A157" s="3">
        <v>1157</v>
      </c>
      <c r="B157" s="16" t="s">
        <v>82</v>
      </c>
      <c r="C157" s="9"/>
      <c r="D157" s="12">
        <v>95</v>
      </c>
      <c r="E157" s="10"/>
      <c r="F157" s="12">
        <v>99</v>
      </c>
      <c r="G157" s="4">
        <f>COUNT(C157:F157)</f>
        <v>2</v>
      </c>
      <c r="H157" s="5">
        <f>AVERAGEIF(C157:F157,"&gt;0")</f>
        <v>97</v>
      </c>
      <c r="I157" s="5" t="str">
        <f>IF(H157&gt;=90,"امتياز",IF(H157&gt;=80,"جيد جدا",IF(H157&gt;=70,"جيد","-")))</f>
        <v>امتياز</v>
      </c>
    </row>
    <row r="158" spans="1:9" ht="29" x14ac:dyDescent="1.75">
      <c r="A158" s="3">
        <v>1158</v>
      </c>
      <c r="B158" s="17" t="s">
        <v>142</v>
      </c>
      <c r="C158" s="9"/>
      <c r="D158" s="13"/>
      <c r="E158" s="9"/>
      <c r="F158" s="12">
        <v>90</v>
      </c>
      <c r="G158" s="4">
        <f>COUNT(C158:F158)</f>
        <v>1</v>
      </c>
      <c r="H158" s="5">
        <f>AVERAGEIF(C158:F158,"&gt;0")</f>
        <v>90</v>
      </c>
      <c r="I158" s="5" t="str">
        <f>IF(H158&gt;=90,"امتياز",IF(H158&gt;=80,"جيد جدا",IF(H158&gt;=70,"جيد","-")))</f>
        <v>امتياز</v>
      </c>
    </row>
    <row r="159" spans="1:9" ht="29" x14ac:dyDescent="1.75">
      <c r="A159" s="3">
        <v>1159</v>
      </c>
      <c r="B159" s="16" t="s">
        <v>43</v>
      </c>
      <c r="C159" s="10">
        <v>96</v>
      </c>
      <c r="D159" s="13"/>
      <c r="E159" s="10">
        <v>98</v>
      </c>
      <c r="F159" s="12">
        <v>98</v>
      </c>
      <c r="G159" s="4">
        <f>COUNT(C159:F159)</f>
        <v>3</v>
      </c>
      <c r="H159" s="5">
        <f>AVERAGEIF(C159:F159,"&gt;0")</f>
        <v>97.333333333333329</v>
      </c>
      <c r="I159" s="5" t="str">
        <f>IF(H159&gt;=90,"امتياز",IF(H159&gt;=80,"جيد جدا",IF(H159&gt;=70,"جيد","-")))</f>
        <v>امتياز</v>
      </c>
    </row>
    <row r="160" spans="1:9" ht="29" x14ac:dyDescent="1.75">
      <c r="A160" s="3">
        <v>1160</v>
      </c>
      <c r="B160" s="16" t="s">
        <v>83</v>
      </c>
      <c r="C160" s="9"/>
      <c r="D160" s="12">
        <v>88</v>
      </c>
      <c r="E160" s="10"/>
      <c r="F160" s="12"/>
      <c r="G160" s="4">
        <f>COUNT(C160:F160)</f>
        <v>1</v>
      </c>
      <c r="H160" s="5">
        <f>AVERAGEIF(C160:F160,"&gt;0")</f>
        <v>88</v>
      </c>
      <c r="I160" s="5" t="str">
        <f>IF(H160&gt;=90,"امتياز",IF(H160&gt;=80,"جيد جدا",IF(H160&gt;=70,"جيد","-")))</f>
        <v>جيد جدا</v>
      </c>
    </row>
    <row r="161" spans="1:9" ht="29" x14ac:dyDescent="1.75">
      <c r="A161" s="3">
        <v>1161</v>
      </c>
      <c r="B161" s="17" t="s">
        <v>128</v>
      </c>
      <c r="C161" s="9"/>
      <c r="D161" s="13"/>
      <c r="E161" s="9"/>
      <c r="F161" s="12">
        <v>98</v>
      </c>
      <c r="G161" s="4">
        <f>COUNT(C161:F161)</f>
        <v>1</v>
      </c>
      <c r="H161" s="5">
        <f>AVERAGEIF(C161:F161,"&gt;0")</f>
        <v>98</v>
      </c>
      <c r="I161" s="5" t="str">
        <f>IF(H161&gt;=90,"امتياز",IF(H161&gt;=80,"جيد جدا",IF(H161&gt;=70,"جيد","-")))</f>
        <v>امتياز</v>
      </c>
    </row>
    <row r="162" spans="1:9" ht="29" x14ac:dyDescent="1.75">
      <c r="A162" s="3">
        <v>1162</v>
      </c>
      <c r="B162" s="16" t="s">
        <v>40</v>
      </c>
      <c r="C162" s="10">
        <v>90.5</v>
      </c>
      <c r="D162" s="14">
        <v>96</v>
      </c>
      <c r="E162" s="10">
        <v>97</v>
      </c>
      <c r="F162" s="12"/>
      <c r="G162" s="4">
        <f>COUNT(C162:F162)</f>
        <v>3</v>
      </c>
      <c r="H162" s="5">
        <f>AVERAGEIF(C162:F162,"&gt;0")</f>
        <v>94.5</v>
      </c>
      <c r="I162" s="5" t="str">
        <f>IF(H162&gt;=90,"امتياز",IF(H162&gt;=80,"جيد جدا",IF(H162&gt;=70,"جيد","-")))</f>
        <v>امتياز</v>
      </c>
    </row>
    <row r="163" spans="1:9" ht="29" x14ac:dyDescent="1.75">
      <c r="A163" s="3">
        <v>1163</v>
      </c>
      <c r="B163" s="17" t="s">
        <v>149</v>
      </c>
      <c r="C163" s="9"/>
      <c r="D163" s="13"/>
      <c r="E163" s="9"/>
      <c r="F163" s="12">
        <v>61</v>
      </c>
      <c r="G163" s="4">
        <f>COUNT(C163:F163)</f>
        <v>1</v>
      </c>
      <c r="H163" s="5">
        <f>AVERAGEIF(C163:F163,"&gt;0")</f>
        <v>61</v>
      </c>
      <c r="I163" s="5" t="str">
        <f>IF(H163&gt;=90,"امتياز",IF(H163&gt;=80,"جيد جدا",IF(H163&gt;=70,"جيد","-")))</f>
        <v>-</v>
      </c>
    </row>
    <row r="164" spans="1:9" ht="29" x14ac:dyDescent="1.75">
      <c r="A164" s="3">
        <v>1164</v>
      </c>
      <c r="B164" s="17" t="s">
        <v>136</v>
      </c>
      <c r="C164" s="9"/>
      <c r="D164" s="13"/>
      <c r="E164" s="9"/>
      <c r="F164" s="12">
        <v>95</v>
      </c>
      <c r="G164" s="4">
        <f>COUNT(C164:F164)</f>
        <v>1</v>
      </c>
      <c r="H164" s="5">
        <f>AVERAGEIF(C164:F164,"&gt;0")</f>
        <v>95</v>
      </c>
      <c r="I164" s="5" t="str">
        <f>IF(H164&gt;=90,"امتياز",IF(H164&gt;=80,"جيد جدا",IF(H164&gt;=70,"جيد","-")))</f>
        <v>امتياز</v>
      </c>
    </row>
    <row r="165" spans="1:9" ht="29" x14ac:dyDescent="1.75">
      <c r="A165" s="3">
        <v>1165</v>
      </c>
      <c r="B165" s="16" t="s">
        <v>53</v>
      </c>
      <c r="C165" s="10">
        <v>95.5</v>
      </c>
      <c r="D165" s="12">
        <v>100</v>
      </c>
      <c r="E165" s="10">
        <v>95</v>
      </c>
      <c r="F165" s="12"/>
      <c r="G165" s="4">
        <f>COUNT(C165:F165)</f>
        <v>3</v>
      </c>
      <c r="H165" s="5">
        <f>AVERAGEIF(C165:F165,"&gt;0")</f>
        <v>96.833333333333329</v>
      </c>
      <c r="I165" s="5" t="str">
        <f>IF(H165&gt;=90,"امتياز",IF(H165&gt;=80,"جيد جدا",IF(H165&gt;=70,"جيد","-")))</f>
        <v>امتياز</v>
      </c>
    </row>
    <row r="166" spans="1:9" ht="29" x14ac:dyDescent="1.75">
      <c r="A166" s="3">
        <v>1166</v>
      </c>
      <c r="B166" s="17" t="s">
        <v>208</v>
      </c>
      <c r="C166" s="9"/>
      <c r="D166" s="13"/>
      <c r="E166" s="9"/>
      <c r="F166" s="12">
        <v>93</v>
      </c>
      <c r="G166" s="4">
        <f>COUNT(C166:F166)</f>
        <v>1</v>
      </c>
      <c r="H166" s="5">
        <f>AVERAGEIF(C166:F166,"&gt;0")</f>
        <v>93</v>
      </c>
      <c r="I166" s="5" t="str">
        <f>IF(H166&gt;=90,"امتياز",IF(H166&gt;=80,"جيد جدا",IF(H166&gt;=70,"جيد","-")))</f>
        <v>امتياز</v>
      </c>
    </row>
    <row r="167" spans="1:9" ht="29" x14ac:dyDescent="1.75">
      <c r="A167" s="3">
        <v>1167</v>
      </c>
      <c r="B167" s="17" t="s">
        <v>209</v>
      </c>
      <c r="C167" s="9"/>
      <c r="D167" s="13"/>
      <c r="E167" s="9"/>
      <c r="F167" s="12">
        <v>85</v>
      </c>
      <c r="G167" s="4">
        <f>COUNT(C167:F167)</f>
        <v>1</v>
      </c>
      <c r="H167" s="5">
        <f>AVERAGEIF(C167:F167,"&gt;0")</f>
        <v>85</v>
      </c>
      <c r="I167" s="5" t="str">
        <f>IF(H167&gt;=90,"امتياز",IF(H167&gt;=80,"جيد جدا",IF(H167&gt;=70,"جيد","-")))</f>
        <v>جيد جدا</v>
      </c>
    </row>
    <row r="168" spans="1:9" ht="29" x14ac:dyDescent="1.75">
      <c r="A168" s="3">
        <v>1168</v>
      </c>
      <c r="B168" s="17" t="s">
        <v>210</v>
      </c>
      <c r="C168" s="9"/>
      <c r="D168" s="13"/>
      <c r="E168" s="9"/>
      <c r="F168" s="12">
        <v>94</v>
      </c>
      <c r="G168" s="4">
        <f>COUNT(C168:F168)</f>
        <v>1</v>
      </c>
      <c r="H168" s="5">
        <f>AVERAGEIF(C168:F168,"&gt;0")</f>
        <v>94</v>
      </c>
      <c r="I168" s="5" t="str">
        <f>IF(H168&gt;=90,"امتياز",IF(H168&gt;=80,"جيد جدا",IF(H168&gt;=70,"جيد","-")))</f>
        <v>امتياز</v>
      </c>
    </row>
    <row r="169" spans="1:9" ht="29" x14ac:dyDescent="1.75">
      <c r="A169" s="3">
        <v>1169</v>
      </c>
      <c r="B169" s="17" t="s">
        <v>174</v>
      </c>
      <c r="C169" s="9"/>
      <c r="D169" s="13"/>
      <c r="E169" s="9"/>
      <c r="F169" s="12">
        <v>85.5</v>
      </c>
      <c r="G169" s="4">
        <f>COUNT(C169:F169)</f>
        <v>1</v>
      </c>
      <c r="H169" s="5">
        <f>AVERAGEIF(C169:F169,"&gt;0")</f>
        <v>85.5</v>
      </c>
      <c r="I169" s="5" t="str">
        <f>IF(H169&gt;=90,"امتياز",IF(H169&gt;=80,"جيد جدا",IF(H169&gt;=70,"جيد","-")))</f>
        <v>جيد جدا</v>
      </c>
    </row>
    <row r="170" spans="1:9" ht="29" x14ac:dyDescent="1.75">
      <c r="A170" s="3">
        <v>1170</v>
      </c>
      <c r="B170" s="17" t="s">
        <v>139</v>
      </c>
      <c r="C170" s="9"/>
      <c r="D170" s="13"/>
      <c r="E170" s="9"/>
      <c r="F170" s="12">
        <v>95</v>
      </c>
      <c r="G170" s="4">
        <f>COUNT(C170:F170)</f>
        <v>1</v>
      </c>
      <c r="H170" s="5">
        <f>AVERAGEIF(C170:F170,"&gt;0")</f>
        <v>95</v>
      </c>
      <c r="I170" s="5" t="str">
        <f>IF(H170&gt;=90,"امتياز",IF(H170&gt;=80,"جيد جدا",IF(H170&gt;=70,"جيد","-")))</f>
        <v>امتياز</v>
      </c>
    </row>
    <row r="171" spans="1:9" ht="29" x14ac:dyDescent="1.75">
      <c r="A171" s="3">
        <v>1171</v>
      </c>
      <c r="B171" s="16" t="s">
        <v>84</v>
      </c>
      <c r="C171" s="10">
        <v>89</v>
      </c>
      <c r="D171" s="12">
        <v>100</v>
      </c>
      <c r="E171" s="10">
        <v>92</v>
      </c>
      <c r="F171" s="12">
        <v>97.5</v>
      </c>
      <c r="G171" s="4">
        <f>COUNT(C171:F171)</f>
        <v>4</v>
      </c>
      <c r="H171" s="5">
        <f>AVERAGEIF(C171:F171,"&gt;0")</f>
        <v>94.625</v>
      </c>
      <c r="I171" s="5" t="str">
        <f>IF(H171&gt;=90,"امتياز",IF(H171&gt;=80,"جيد جدا",IF(H171&gt;=70,"جيد","-")))</f>
        <v>امتياز</v>
      </c>
    </row>
    <row r="172" spans="1:9" ht="29" x14ac:dyDescent="1.75">
      <c r="A172" s="3">
        <v>1172</v>
      </c>
      <c r="B172" s="16" t="s">
        <v>11</v>
      </c>
      <c r="C172" s="10">
        <v>96.5</v>
      </c>
      <c r="D172" s="13"/>
      <c r="E172" s="9"/>
      <c r="F172" s="12">
        <v>94.5</v>
      </c>
      <c r="G172" s="4">
        <f>COUNT(C172:F172)</f>
        <v>2</v>
      </c>
      <c r="H172" s="5">
        <f>AVERAGEIF(C172:F172,"&gt;0")</f>
        <v>95.5</v>
      </c>
      <c r="I172" s="5" t="str">
        <f>IF(H172&gt;=90,"امتياز",IF(H172&gt;=80,"جيد جدا",IF(H172&gt;=70,"جيد","-")))</f>
        <v>امتياز</v>
      </c>
    </row>
    <row r="173" spans="1:9" ht="29" x14ac:dyDescent="1.75">
      <c r="A173" s="3">
        <v>1173</v>
      </c>
      <c r="B173" s="16" t="s">
        <v>211</v>
      </c>
      <c r="C173" s="10">
        <v>93</v>
      </c>
      <c r="D173" s="12">
        <v>95.5</v>
      </c>
      <c r="E173" s="10">
        <v>84.5</v>
      </c>
      <c r="F173" s="12">
        <v>95.5</v>
      </c>
      <c r="G173" s="4">
        <f>COUNT(C173:F173)</f>
        <v>4</v>
      </c>
      <c r="H173" s="5">
        <f>AVERAGEIF(C173:F173,"&gt;0")</f>
        <v>92.125</v>
      </c>
      <c r="I173" s="5" t="str">
        <f>IF(H173&gt;=90,"امتياز",IF(H173&gt;=80,"جيد جدا",IF(H173&gt;=70,"جيد","-")))</f>
        <v>امتياز</v>
      </c>
    </row>
    <row r="174" spans="1:9" ht="29" x14ac:dyDescent="1.75">
      <c r="A174" s="3">
        <v>1174</v>
      </c>
      <c r="B174" s="16" t="s">
        <v>212</v>
      </c>
      <c r="C174" s="10">
        <v>89</v>
      </c>
      <c r="D174" s="12">
        <v>88.5</v>
      </c>
      <c r="E174" s="10">
        <v>75.5</v>
      </c>
      <c r="F174" s="12">
        <v>94</v>
      </c>
      <c r="G174" s="4">
        <f>COUNT(C174:F174)</f>
        <v>4</v>
      </c>
      <c r="H174" s="5">
        <f>AVERAGEIF(C174:F174,"&gt;0")</f>
        <v>86.75</v>
      </c>
      <c r="I174" s="5" t="str">
        <f>IF(H174&gt;=90,"امتياز",IF(H174&gt;=80,"جيد جدا",IF(H174&gt;=70,"جيد","-")))</f>
        <v>جيد جدا</v>
      </c>
    </row>
    <row r="175" spans="1:9" ht="58" x14ac:dyDescent="1.75">
      <c r="A175" s="3">
        <v>1175</v>
      </c>
      <c r="B175" s="16" t="s">
        <v>85</v>
      </c>
      <c r="C175" s="10">
        <v>76</v>
      </c>
      <c r="D175" s="12">
        <v>92</v>
      </c>
      <c r="E175" s="10">
        <v>80</v>
      </c>
      <c r="F175" s="12">
        <v>96.5</v>
      </c>
      <c r="G175" s="4">
        <f>COUNT(C175:F175)</f>
        <v>4</v>
      </c>
      <c r="H175" s="5">
        <f>AVERAGEIF(C175:F175,"&gt;0")</f>
        <v>86.125</v>
      </c>
      <c r="I175" s="5" t="str">
        <f>IF(H175&gt;=90,"امتياز",IF(H175&gt;=80,"جيد جدا",IF(H175&gt;=70,"جيد","-")))</f>
        <v>جيد جدا</v>
      </c>
    </row>
    <row r="176" spans="1:9" ht="29" x14ac:dyDescent="1.75">
      <c r="A176" s="3">
        <v>1176</v>
      </c>
      <c r="B176" s="16" t="s">
        <v>39</v>
      </c>
      <c r="C176" s="10">
        <v>84</v>
      </c>
      <c r="D176" s="12"/>
      <c r="E176" s="10"/>
      <c r="F176" s="12"/>
      <c r="G176" s="4">
        <f>COUNT(C176:F176)</f>
        <v>1</v>
      </c>
      <c r="H176" s="5">
        <f>AVERAGEIF(C176:F176,"&gt;0")</f>
        <v>84</v>
      </c>
      <c r="I176" s="5" t="str">
        <f>IF(H176&gt;=90,"امتياز",IF(H176&gt;=80,"جيد جدا",IF(H176&gt;=70,"جيد","-")))</f>
        <v>جيد جدا</v>
      </c>
    </row>
    <row r="177" spans="1:9" ht="29" x14ac:dyDescent="1.75">
      <c r="A177" s="3">
        <v>1177</v>
      </c>
      <c r="B177" s="16" t="s">
        <v>47</v>
      </c>
      <c r="C177" s="10">
        <v>91</v>
      </c>
      <c r="D177" s="12"/>
      <c r="E177" s="10"/>
      <c r="F177" s="12">
        <v>93</v>
      </c>
      <c r="G177" s="4">
        <f>COUNT(C177:F177)</f>
        <v>2</v>
      </c>
      <c r="H177" s="5">
        <f>AVERAGEIF(C177:F177,"&gt;0")</f>
        <v>92</v>
      </c>
      <c r="I177" s="5" t="str">
        <f>IF(H177&gt;=90,"امتياز",IF(H177&gt;=80,"جيد جدا",IF(H177&gt;=70,"جيد","-")))</f>
        <v>امتياز</v>
      </c>
    </row>
    <row r="178" spans="1:9" ht="29" x14ac:dyDescent="1.75">
      <c r="A178" s="3">
        <v>1178</v>
      </c>
      <c r="B178" s="17" t="s">
        <v>122</v>
      </c>
      <c r="C178" s="9"/>
      <c r="D178" s="13"/>
      <c r="E178" s="9"/>
      <c r="F178" s="12">
        <v>86</v>
      </c>
      <c r="G178" s="4">
        <f>COUNT(C178:F178)</f>
        <v>1</v>
      </c>
      <c r="H178" s="5">
        <f>AVERAGEIF(C178:F178,"&gt;0")</f>
        <v>86</v>
      </c>
      <c r="I178" s="5" t="str">
        <f>IF(H178&gt;=90,"امتياز",IF(H178&gt;=80,"جيد جدا",IF(H178&gt;=70,"جيد","-")))</f>
        <v>جيد جدا</v>
      </c>
    </row>
    <row r="179" spans="1:9" ht="29" x14ac:dyDescent="1.75">
      <c r="A179" s="3">
        <v>1179</v>
      </c>
      <c r="B179" s="17" t="s">
        <v>175</v>
      </c>
      <c r="C179" s="9"/>
      <c r="D179" s="13"/>
      <c r="E179" s="9"/>
      <c r="F179" s="12">
        <v>85</v>
      </c>
      <c r="G179" s="4">
        <f>COUNT(C179:F179)</f>
        <v>1</v>
      </c>
      <c r="H179" s="5">
        <f>AVERAGEIF(C179:F179,"&gt;0")</f>
        <v>85</v>
      </c>
      <c r="I179" s="5" t="str">
        <f>IF(H179&gt;=90,"امتياز",IF(H179&gt;=80,"جيد جدا",IF(H179&gt;=70,"جيد","-")))</f>
        <v>جيد جدا</v>
      </c>
    </row>
    <row r="180" spans="1:9" ht="29" x14ac:dyDescent="1.75">
      <c r="A180" s="3">
        <v>1180</v>
      </c>
      <c r="B180" s="16" t="s">
        <v>105</v>
      </c>
      <c r="C180" s="9"/>
      <c r="D180" s="13"/>
      <c r="E180" s="10">
        <v>77</v>
      </c>
      <c r="F180" s="12"/>
      <c r="G180" s="4">
        <f>COUNT(C180:F180)</f>
        <v>1</v>
      </c>
      <c r="H180" s="5">
        <f>AVERAGEIF(C180:F180,"&gt;0")</f>
        <v>77</v>
      </c>
      <c r="I180" s="5" t="str">
        <f>IF(H180&gt;=90,"امتياز",IF(H180&gt;=80,"جيد جدا",IF(H180&gt;=70,"جيد","-")))</f>
        <v>جيد</v>
      </c>
    </row>
    <row r="181" spans="1:9" ht="29" x14ac:dyDescent="1.75">
      <c r="A181" s="3">
        <v>1181</v>
      </c>
      <c r="B181" s="16" t="s">
        <v>48</v>
      </c>
      <c r="C181" s="10">
        <v>88.5</v>
      </c>
      <c r="D181" s="12"/>
      <c r="E181" s="10"/>
      <c r="F181" s="12"/>
      <c r="G181" s="4">
        <f>COUNT(C181:F181)</f>
        <v>1</v>
      </c>
      <c r="H181" s="5">
        <f>AVERAGEIF(C181:F181,"&gt;0")</f>
        <v>88.5</v>
      </c>
      <c r="I181" s="5" t="str">
        <f>IF(H181&gt;=90,"امتياز",IF(H181&gt;=80,"جيد جدا",IF(H181&gt;=70,"جيد","-")))</f>
        <v>جيد جدا</v>
      </c>
    </row>
    <row r="182" spans="1:9" ht="29" x14ac:dyDescent="1.75">
      <c r="A182" s="3">
        <v>1182</v>
      </c>
      <c r="B182" s="16" t="s">
        <v>220</v>
      </c>
      <c r="C182" s="10">
        <v>81</v>
      </c>
      <c r="D182" s="14">
        <v>93</v>
      </c>
      <c r="E182" s="10">
        <v>83</v>
      </c>
      <c r="F182" s="12"/>
      <c r="G182" s="4">
        <f>COUNT(C182:F182)</f>
        <v>3</v>
      </c>
      <c r="H182" s="5">
        <f>AVERAGEIF(C182:F182,"&gt;0")</f>
        <v>85.666666666666671</v>
      </c>
      <c r="I182" s="5" t="str">
        <f>IF(H182&gt;=90,"امتياز",IF(H182&gt;=80,"جيد جدا",IF(H182&gt;=70,"جيد","-")))</f>
        <v>جيد جدا</v>
      </c>
    </row>
    <row r="183" spans="1:9" ht="29" x14ac:dyDescent="1.75">
      <c r="A183" s="3">
        <v>1183</v>
      </c>
      <c r="B183" s="16" t="s">
        <v>103</v>
      </c>
      <c r="C183" s="10">
        <v>80</v>
      </c>
      <c r="D183" s="12">
        <v>88.5</v>
      </c>
      <c r="E183" s="10">
        <v>89</v>
      </c>
      <c r="F183" s="12">
        <v>88</v>
      </c>
      <c r="G183" s="4">
        <f>COUNT(C183:F183)</f>
        <v>4</v>
      </c>
      <c r="H183" s="5">
        <f>AVERAGEIF(C183:F183,"&gt;0")</f>
        <v>86.375</v>
      </c>
      <c r="I183" s="5" t="str">
        <f>IF(H183&gt;=90,"امتياز",IF(H183&gt;=80,"جيد جدا",IF(H183&gt;=70,"جيد","-")))</f>
        <v>جيد جدا</v>
      </c>
    </row>
    <row r="184" spans="1:9" ht="29" x14ac:dyDescent="1.75">
      <c r="A184" s="3">
        <v>1184</v>
      </c>
      <c r="B184" s="16" t="s">
        <v>26</v>
      </c>
      <c r="C184" s="10">
        <v>72.5</v>
      </c>
      <c r="D184" s="12"/>
      <c r="E184" s="10"/>
      <c r="F184" s="12"/>
      <c r="G184" s="4">
        <f>COUNT(C184:F184)</f>
        <v>1</v>
      </c>
      <c r="H184" s="5">
        <f>AVERAGEIF(C184:F184,"&gt;0")</f>
        <v>72.5</v>
      </c>
      <c r="I184" s="5" t="str">
        <f>IF(H184&gt;=90,"امتياز",IF(H184&gt;=80,"جيد جدا",IF(H184&gt;=70,"جيد","-")))</f>
        <v>جيد</v>
      </c>
    </row>
    <row r="185" spans="1:9" ht="29" x14ac:dyDescent="1.75">
      <c r="A185" s="3">
        <v>1185</v>
      </c>
      <c r="B185" s="16" t="s">
        <v>213</v>
      </c>
      <c r="C185" s="10">
        <v>97.5</v>
      </c>
      <c r="D185" s="12">
        <v>100</v>
      </c>
      <c r="E185" s="10">
        <v>95</v>
      </c>
      <c r="F185" s="12">
        <v>94.5</v>
      </c>
      <c r="G185" s="4">
        <f>COUNT(C185:F185)</f>
        <v>4</v>
      </c>
      <c r="H185" s="5">
        <f>AVERAGEIF(C185:F185,"&gt;0")</f>
        <v>96.75</v>
      </c>
      <c r="I185" s="5" t="str">
        <f>IF(H185&gt;=90,"امتياز",IF(H185&gt;=80,"جيد جدا",IF(H185&gt;=70,"جيد","-")))</f>
        <v>امتياز</v>
      </c>
    </row>
    <row r="186" spans="1:9" ht="29" x14ac:dyDescent="1.75">
      <c r="A186" s="3">
        <v>1186</v>
      </c>
      <c r="B186" s="16" t="s">
        <v>86</v>
      </c>
      <c r="C186" s="10">
        <v>98</v>
      </c>
      <c r="D186" s="12">
        <v>99.5</v>
      </c>
      <c r="E186" s="10">
        <v>100</v>
      </c>
      <c r="F186" s="12"/>
      <c r="G186" s="4">
        <f>COUNT(C186:F186)</f>
        <v>3</v>
      </c>
      <c r="H186" s="5">
        <f>AVERAGEIF(C186:F186,"&gt;0")</f>
        <v>99.166666666666671</v>
      </c>
      <c r="I186" s="5" t="str">
        <f>IF(H186&gt;=90,"امتياز",IF(H186&gt;=80,"جيد جدا",IF(H186&gt;=70,"جيد","-")))</f>
        <v>امتياز</v>
      </c>
    </row>
    <row r="187" spans="1:9" ht="29" x14ac:dyDescent="1.75">
      <c r="A187" s="3">
        <v>1187</v>
      </c>
      <c r="B187" s="16" t="s">
        <v>87</v>
      </c>
      <c r="C187" s="10">
        <v>95</v>
      </c>
      <c r="D187" s="12">
        <v>96</v>
      </c>
      <c r="E187" s="10">
        <v>94.5</v>
      </c>
      <c r="F187" s="12">
        <v>93.5</v>
      </c>
      <c r="G187" s="4">
        <f>COUNT(C187:F187)</f>
        <v>4</v>
      </c>
      <c r="H187" s="5">
        <f>AVERAGEIF(C187:F187,"&gt;0")</f>
        <v>94.75</v>
      </c>
      <c r="I187" s="5" t="str">
        <f>IF(H187&gt;=90,"امتياز",IF(H187&gt;=80,"جيد جدا",IF(H187&gt;=70,"جيد","-")))</f>
        <v>امتياز</v>
      </c>
    </row>
    <row r="188" spans="1:9" ht="29" x14ac:dyDescent="1.75">
      <c r="A188" s="3">
        <v>1188</v>
      </c>
      <c r="B188" s="16" t="s">
        <v>35</v>
      </c>
      <c r="C188" s="10">
        <v>74</v>
      </c>
      <c r="D188" s="12"/>
      <c r="E188" s="10"/>
      <c r="F188" s="12"/>
      <c r="G188" s="4">
        <f>COUNT(C188:F188)</f>
        <v>1</v>
      </c>
      <c r="H188" s="5">
        <f>AVERAGEIF(C188:F188,"&gt;0")</f>
        <v>74</v>
      </c>
      <c r="I188" s="5" t="str">
        <f>IF(H188&gt;=90,"امتياز",IF(H188&gt;=80,"جيد جدا",IF(H188&gt;=70,"جيد","-")))</f>
        <v>جيد</v>
      </c>
    </row>
    <row r="189" spans="1:9" ht="29" x14ac:dyDescent="1.75">
      <c r="A189" s="3">
        <v>1189</v>
      </c>
      <c r="B189" s="16" t="s">
        <v>100</v>
      </c>
      <c r="C189" s="10">
        <v>100</v>
      </c>
      <c r="D189" s="12"/>
      <c r="E189" s="10">
        <v>96</v>
      </c>
      <c r="F189" s="12">
        <v>93.5</v>
      </c>
      <c r="G189" s="4">
        <f>COUNT(C189:F189)</f>
        <v>3</v>
      </c>
      <c r="H189" s="5">
        <f>AVERAGEIF(C189:F189,"&gt;0")</f>
        <v>96.5</v>
      </c>
      <c r="I189" s="5" t="str">
        <f>IF(H189&gt;=90,"امتياز",IF(H189&gt;=80,"جيد جدا",IF(H189&gt;=70,"جيد","-")))</f>
        <v>امتياز</v>
      </c>
    </row>
    <row r="190" spans="1:9" ht="29" x14ac:dyDescent="1.75">
      <c r="A190" s="3">
        <v>1190</v>
      </c>
      <c r="B190" s="17" t="s">
        <v>144</v>
      </c>
      <c r="C190" s="9"/>
      <c r="D190" s="13"/>
      <c r="E190" s="9"/>
      <c r="F190" s="12">
        <v>89</v>
      </c>
      <c r="G190" s="4">
        <f>COUNT(C190:F190)</f>
        <v>1</v>
      </c>
      <c r="H190" s="5">
        <f>AVERAGEIF(C190:F190,"&gt;0")</f>
        <v>89</v>
      </c>
      <c r="I190" s="5" t="str">
        <f>IF(H190&gt;=90,"امتياز",IF(H190&gt;=80,"جيد جدا",IF(H190&gt;=70,"جيد","-")))</f>
        <v>جيد جدا</v>
      </c>
    </row>
    <row r="191" spans="1:9" ht="29" x14ac:dyDescent="1.75">
      <c r="A191" s="3">
        <v>1191</v>
      </c>
      <c r="B191" s="16" t="s">
        <v>96</v>
      </c>
      <c r="C191" s="10">
        <v>98.5</v>
      </c>
      <c r="D191" s="12">
        <v>99.5</v>
      </c>
      <c r="E191" s="10">
        <v>100</v>
      </c>
      <c r="F191" s="12">
        <v>99</v>
      </c>
      <c r="G191" s="4">
        <f>COUNT(C191:F191)</f>
        <v>4</v>
      </c>
      <c r="H191" s="5">
        <f>AVERAGEIF(C191:F191,"&gt;0")</f>
        <v>99.25</v>
      </c>
      <c r="I191" s="5" t="str">
        <f>IF(H191&gt;=90,"امتياز",IF(H191&gt;=80,"جيد جدا",IF(H191&gt;=70,"جيد","-")))</f>
        <v>امتياز</v>
      </c>
    </row>
    <row r="192" spans="1:9" ht="29" x14ac:dyDescent="1.75">
      <c r="A192" s="3">
        <v>1192</v>
      </c>
      <c r="B192" s="17" t="s">
        <v>214</v>
      </c>
      <c r="C192" s="9"/>
      <c r="D192" s="13"/>
      <c r="E192" s="9"/>
      <c r="F192" s="12">
        <v>84</v>
      </c>
      <c r="G192" s="4">
        <f>COUNT(C192:F192)</f>
        <v>1</v>
      </c>
      <c r="H192" s="5">
        <f>AVERAGEIF(C192:F192,"&gt;0")</f>
        <v>84</v>
      </c>
      <c r="I192" s="5" t="str">
        <f>IF(H192&gt;=90,"امتياز",IF(H192&gt;=80,"جيد جدا",IF(H192&gt;=70,"جيد","-")))</f>
        <v>جيد جدا</v>
      </c>
    </row>
    <row r="193" spans="1:9" ht="29" x14ac:dyDescent="1.75">
      <c r="A193" s="3">
        <v>1193</v>
      </c>
      <c r="B193" s="17" t="s">
        <v>215</v>
      </c>
      <c r="C193" s="9"/>
      <c r="D193" s="13"/>
      <c r="E193" s="9"/>
      <c r="F193" s="12">
        <v>57</v>
      </c>
      <c r="G193" s="4">
        <f>COUNT(C193:F193)</f>
        <v>1</v>
      </c>
      <c r="H193" s="5">
        <f>AVERAGEIF(C193:F193,"&gt;0")</f>
        <v>57</v>
      </c>
      <c r="I193" s="5" t="str">
        <f>IF(H193&gt;=90,"امتياز",IF(H193&gt;=80,"جيد جدا",IF(H193&gt;=70,"جيد","-")))</f>
        <v>-</v>
      </c>
    </row>
    <row r="194" spans="1:9" ht="29" x14ac:dyDescent="1.75">
      <c r="A194" s="3">
        <v>1194</v>
      </c>
      <c r="B194" s="16" t="s">
        <v>33</v>
      </c>
      <c r="C194" s="10">
        <v>86</v>
      </c>
      <c r="D194" s="12">
        <v>95</v>
      </c>
      <c r="E194" s="10">
        <v>65</v>
      </c>
      <c r="F194" s="12">
        <v>85</v>
      </c>
      <c r="G194" s="4">
        <f>COUNT(C194:F194)</f>
        <v>4</v>
      </c>
      <c r="H194" s="5">
        <f>AVERAGEIF(C194:F194,"&gt;0")</f>
        <v>82.75</v>
      </c>
      <c r="I194" s="5" t="str">
        <f>IF(H194&gt;=90,"امتياز",IF(H194&gt;=80,"جيد جدا",IF(H194&gt;=70,"جيد","-")))</f>
        <v>جيد جدا</v>
      </c>
    </row>
    <row r="195" spans="1:9" ht="29" x14ac:dyDescent="1.75">
      <c r="A195" s="3">
        <v>1195</v>
      </c>
      <c r="B195" s="16" t="s">
        <v>88</v>
      </c>
      <c r="C195" s="9"/>
      <c r="D195" s="12">
        <v>93</v>
      </c>
      <c r="E195" s="10"/>
      <c r="F195" s="12">
        <v>96</v>
      </c>
      <c r="G195" s="4">
        <f>COUNT(C195:F195)</f>
        <v>2</v>
      </c>
      <c r="H195" s="5">
        <f>AVERAGEIF(C195:F195,"&gt;0")</f>
        <v>94.5</v>
      </c>
      <c r="I195" s="5" t="str">
        <f>IF(H195&gt;=90,"امتياز",IF(H195&gt;=80,"جيد جدا",IF(H195&gt;=70,"جيد","-")))</f>
        <v>امتياز</v>
      </c>
    </row>
    <row r="196" spans="1:9" ht="29" x14ac:dyDescent="1.75">
      <c r="A196" s="3">
        <v>1196</v>
      </c>
      <c r="B196" s="16" t="s">
        <v>14</v>
      </c>
      <c r="C196" s="10">
        <v>91</v>
      </c>
      <c r="D196" s="12"/>
      <c r="E196" s="10"/>
      <c r="F196" s="12"/>
      <c r="G196" s="4">
        <f>COUNT(C196:F196)</f>
        <v>1</v>
      </c>
      <c r="H196" s="5">
        <f>AVERAGEIF(C196:F196,"&gt;0")</f>
        <v>91</v>
      </c>
      <c r="I196" s="5" t="str">
        <f>IF(H196&gt;=90,"امتياز",IF(H196&gt;=80,"جيد جدا",IF(H196&gt;=70,"جيد","-")))</f>
        <v>امتياز</v>
      </c>
    </row>
    <row r="197" spans="1:9" ht="29" x14ac:dyDescent="1.75">
      <c r="A197" s="3">
        <v>1197</v>
      </c>
      <c r="B197" s="17" t="s">
        <v>126</v>
      </c>
      <c r="C197" s="9"/>
      <c r="D197" s="13"/>
      <c r="E197" s="9"/>
      <c r="F197" s="12">
        <v>56</v>
      </c>
      <c r="G197" s="4">
        <f>COUNT(C197:F197)</f>
        <v>1</v>
      </c>
      <c r="H197" s="5">
        <f>AVERAGEIF(C197:F197,"&gt;0")</f>
        <v>56</v>
      </c>
      <c r="I197" s="5" t="str">
        <f>IF(H197&gt;=90,"امتياز",IF(H197&gt;=80,"جيد جدا",IF(H197&gt;=70,"جيد","-")))</f>
        <v>-</v>
      </c>
    </row>
    <row r="198" spans="1:9" ht="29" x14ac:dyDescent="1.75">
      <c r="A198" s="3">
        <v>1198</v>
      </c>
      <c r="B198" s="16" t="s">
        <v>98</v>
      </c>
      <c r="C198" s="10">
        <v>96</v>
      </c>
      <c r="D198" s="12">
        <v>100</v>
      </c>
      <c r="E198" s="10">
        <v>98.5</v>
      </c>
      <c r="F198" s="12">
        <v>96</v>
      </c>
      <c r="G198" s="4">
        <f>COUNT(C198:F198)</f>
        <v>4</v>
      </c>
      <c r="H198" s="5">
        <f>AVERAGEIF(C198:F198,"&gt;0")</f>
        <v>97.625</v>
      </c>
      <c r="I198" s="5" t="str">
        <f>IF(H198&gt;=90,"امتياز",IF(H198&gt;=80,"جيد جدا",IF(H198&gt;=70,"جيد","-")))</f>
        <v>امتياز</v>
      </c>
    </row>
    <row r="199" spans="1:9" ht="29" x14ac:dyDescent="1.75">
      <c r="A199" s="3">
        <v>1199</v>
      </c>
      <c r="B199" s="17" t="s">
        <v>216</v>
      </c>
      <c r="C199" s="9"/>
      <c r="D199" s="13"/>
      <c r="E199" s="9"/>
      <c r="F199" s="12">
        <v>60</v>
      </c>
      <c r="G199" s="4">
        <f>COUNT(C199:F199)</f>
        <v>1</v>
      </c>
      <c r="H199" s="5">
        <f>AVERAGEIF(C199:F199,"&gt;0")</f>
        <v>60</v>
      </c>
      <c r="I199" s="5" t="str">
        <f>IF(H199&gt;=90,"امتياز",IF(H199&gt;=80,"جيد جدا",IF(H199&gt;=70,"جيد","-")))</f>
        <v>-</v>
      </c>
    </row>
    <row r="200" spans="1:9" ht="29" x14ac:dyDescent="1.75">
      <c r="A200" s="3">
        <v>1200</v>
      </c>
      <c r="B200" s="16" t="s">
        <v>23</v>
      </c>
      <c r="C200" s="10">
        <v>62.5</v>
      </c>
      <c r="D200" s="13"/>
      <c r="E200" s="9"/>
      <c r="F200" s="12">
        <v>65</v>
      </c>
      <c r="G200" s="4">
        <f>COUNT(C200:F200)</f>
        <v>2</v>
      </c>
      <c r="H200" s="5">
        <f>AVERAGEIF(C200:F200,"&gt;0")</f>
        <v>63.75</v>
      </c>
      <c r="I200" s="5" t="str">
        <f>IF(H200&gt;=90,"امتياز",IF(H200&gt;=80,"جيد جدا",IF(H200&gt;=70,"جيد","-")))</f>
        <v>-</v>
      </c>
    </row>
    <row r="201" spans="1:9" ht="29" x14ac:dyDescent="1.75">
      <c r="A201" s="3">
        <v>1201</v>
      </c>
      <c r="B201" s="17" t="s">
        <v>217</v>
      </c>
      <c r="C201" s="9"/>
      <c r="D201" s="13"/>
      <c r="E201" s="9"/>
      <c r="F201" s="12">
        <v>77.5</v>
      </c>
      <c r="G201" s="4">
        <f>COUNT(C201:F201)</f>
        <v>1</v>
      </c>
      <c r="H201" s="5">
        <f>AVERAGEIF(C201:F201,"&gt;0")</f>
        <v>77.5</v>
      </c>
      <c r="I201" s="5" t="str">
        <f>IF(H201&gt;=90,"امتياز",IF(H201&gt;=80,"جيد جدا",IF(H201&gt;=70,"جيد","-")))</f>
        <v>جيد</v>
      </c>
    </row>
    <row r="202" spans="1:9" ht="29" x14ac:dyDescent="1.75">
      <c r="A202" s="3">
        <v>1202</v>
      </c>
      <c r="B202" s="17" t="s">
        <v>218</v>
      </c>
      <c r="C202" s="10">
        <v>99</v>
      </c>
      <c r="D202" s="12">
        <v>94</v>
      </c>
      <c r="E202" s="10">
        <v>94.5</v>
      </c>
      <c r="F202" s="12">
        <v>94.5</v>
      </c>
      <c r="G202" s="4">
        <f>COUNT(C202:F202)</f>
        <v>4</v>
      </c>
      <c r="H202" s="5">
        <f>AVERAGEIF(C202:F202,"&gt;0")</f>
        <v>95.5</v>
      </c>
      <c r="I202" s="5" t="str">
        <f>IF(H202&gt;=90,"امتياز",IF(H202&gt;=80,"جيد جدا",IF(H202&gt;=70,"جيد","-")))</f>
        <v>امتياز</v>
      </c>
    </row>
    <row r="203" spans="1:9" ht="29" x14ac:dyDescent="1.75">
      <c r="A203" s="3">
        <v>1203</v>
      </c>
      <c r="B203" s="17" t="s">
        <v>219</v>
      </c>
      <c r="C203" s="9"/>
      <c r="D203" s="13"/>
      <c r="E203" s="9"/>
      <c r="F203" s="12">
        <v>90</v>
      </c>
      <c r="G203" s="4">
        <f>COUNT(C203:F203)</f>
        <v>1</v>
      </c>
      <c r="H203" s="5">
        <f>AVERAGEIF(C203:F203,"&gt;0")</f>
        <v>90</v>
      </c>
      <c r="I203" s="5" t="str">
        <f>IF(H203&gt;=90,"امتياز",IF(H203&gt;=80,"جيد جدا",IF(H203&gt;=70,"جيد","-")))</f>
        <v>امتياز</v>
      </c>
    </row>
    <row r="204" spans="1:9" ht="29" x14ac:dyDescent="1.75">
      <c r="A204" s="3">
        <v>1204</v>
      </c>
      <c r="B204" s="16" t="s">
        <v>13</v>
      </c>
      <c r="C204" s="10">
        <v>91</v>
      </c>
      <c r="D204" s="12">
        <v>100</v>
      </c>
      <c r="E204" s="10">
        <v>88</v>
      </c>
      <c r="F204" s="12">
        <v>99.5</v>
      </c>
      <c r="G204" s="4">
        <f>COUNT(C204:F204)</f>
        <v>4</v>
      </c>
      <c r="H204" s="5">
        <f>AVERAGEIF(C204:F204,"&gt;0")</f>
        <v>94.625</v>
      </c>
      <c r="I204" s="5" t="str">
        <f>IF(H204&gt;=90,"امتياز",IF(H204&gt;=80,"جيد جدا",IF(H204&gt;=70,"جيد","-")))</f>
        <v>امتياز</v>
      </c>
    </row>
    <row r="205" spans="1:9" ht="29" x14ac:dyDescent="1.75">
      <c r="A205" s="3">
        <v>1205</v>
      </c>
      <c r="B205" s="16" t="s">
        <v>89</v>
      </c>
      <c r="C205" s="9"/>
      <c r="D205" s="12">
        <v>82</v>
      </c>
      <c r="E205" s="10"/>
      <c r="F205" s="12"/>
      <c r="G205" s="4">
        <f>COUNT(C205:F205)</f>
        <v>1</v>
      </c>
      <c r="H205" s="5">
        <f>AVERAGEIF(C205:F205,"&gt;0")</f>
        <v>82</v>
      </c>
      <c r="I205" s="5" t="str">
        <f>IF(H205&gt;=90,"امتياز",IF(H205&gt;=80,"جيد جدا",IF(H205&gt;=70,"جيد","-")))</f>
        <v>جيد جدا</v>
      </c>
    </row>
    <row r="206" spans="1:9" ht="29" x14ac:dyDescent="1.75">
      <c r="A206" s="3">
        <v>1206</v>
      </c>
      <c r="B206" s="17" t="s">
        <v>118</v>
      </c>
      <c r="C206" s="9"/>
      <c r="D206" s="13"/>
      <c r="E206" s="9"/>
      <c r="F206" s="12">
        <v>53</v>
      </c>
      <c r="G206" s="4">
        <f>COUNT(C206:F206)</f>
        <v>1</v>
      </c>
      <c r="H206" s="5">
        <f>AVERAGEIF(C206:F206,"&gt;0")</f>
        <v>53</v>
      </c>
      <c r="I206" s="5" t="str">
        <f>IF(H206&gt;=90,"امتياز",IF(H206&gt;=80,"جيد جدا",IF(H206&gt;=70,"جيد","-")))</f>
        <v>-</v>
      </c>
    </row>
    <row r="207" spans="1:9" ht="29" x14ac:dyDescent="1.75">
      <c r="A207" s="3">
        <v>1207</v>
      </c>
      <c r="B207" s="17" t="s">
        <v>134</v>
      </c>
      <c r="C207" s="9"/>
      <c r="D207" s="13"/>
      <c r="E207" s="9"/>
      <c r="F207" s="12">
        <v>72</v>
      </c>
      <c r="G207" s="4">
        <f>COUNT(C207:F207)</f>
        <v>1</v>
      </c>
      <c r="H207" s="5">
        <f>AVERAGEIF(C207:F207,"&gt;0")</f>
        <v>72</v>
      </c>
      <c r="I207" s="5" t="str">
        <f>IF(H207&gt;=90,"امتياز",IF(H207&gt;=80,"جيد جدا",IF(H207&gt;=70,"جيد","-")))</f>
        <v>جيد</v>
      </c>
    </row>
    <row r="208" spans="1:9" ht="29" x14ac:dyDescent="1.75">
      <c r="A208" s="3">
        <v>1208</v>
      </c>
      <c r="B208" s="17" t="s">
        <v>19</v>
      </c>
      <c r="C208" s="10">
        <v>74.5</v>
      </c>
      <c r="D208" s="13"/>
      <c r="E208" s="9"/>
      <c r="F208" s="12">
        <v>84.5</v>
      </c>
      <c r="G208" s="4">
        <f>COUNT(C208:F208)</f>
        <v>2</v>
      </c>
      <c r="H208" s="5">
        <f>AVERAGEIF(C208:F208,"&gt;0")</f>
        <v>79.5</v>
      </c>
      <c r="I208" s="5" t="str">
        <f>IF(H208&gt;=90,"امتياز",IF(H208&gt;=80,"جيد جدا",IF(H208&gt;=70,"جيد","-")))</f>
        <v>جيد</v>
      </c>
    </row>
    <row r="209" spans="1:9" ht="29" x14ac:dyDescent="1.75">
      <c r="A209" s="3">
        <v>1209</v>
      </c>
      <c r="B209" s="17" t="s">
        <v>132</v>
      </c>
      <c r="C209" s="9"/>
      <c r="D209" s="13"/>
      <c r="E209" s="9"/>
      <c r="F209" s="12">
        <v>78.5</v>
      </c>
      <c r="G209" s="4">
        <f>COUNT(C209:F209)</f>
        <v>1</v>
      </c>
      <c r="H209" s="5">
        <f>AVERAGEIF(C209:F209,"&gt;0")</f>
        <v>78.5</v>
      </c>
      <c r="I209" s="5" t="str">
        <f>IF(H209&gt;=90,"امتياز",IF(H209&gt;=80,"جيد جدا",IF(H209&gt;=70,"جيد","-")))</f>
        <v>جيد</v>
      </c>
    </row>
    <row r="210" spans="1:9" ht="29" x14ac:dyDescent="1.75">
      <c r="A210" s="3">
        <v>1210</v>
      </c>
      <c r="B210" s="16" t="s">
        <v>95</v>
      </c>
      <c r="C210" s="9"/>
      <c r="D210" s="13"/>
      <c r="E210" s="10">
        <v>40</v>
      </c>
      <c r="F210" s="12">
        <v>65.5</v>
      </c>
      <c r="G210" s="4">
        <f>COUNT(C210:F210)</f>
        <v>2</v>
      </c>
      <c r="H210" s="5">
        <f>AVERAGEIF(C210:F210,"&gt;0")</f>
        <v>52.75</v>
      </c>
      <c r="I210" s="5" t="str">
        <f>IF(H210&gt;=90,"امتياز",IF(H210&gt;=80,"جيد جدا",IF(H210&gt;=70,"جيد","-")))</f>
        <v>-</v>
      </c>
    </row>
    <row r="211" spans="1:9" ht="29" x14ac:dyDescent="1.75">
      <c r="A211" s="3">
        <v>1211</v>
      </c>
      <c r="B211" s="16" t="s">
        <v>24</v>
      </c>
      <c r="C211" s="10">
        <v>50.5</v>
      </c>
      <c r="D211" s="13"/>
      <c r="E211" s="9"/>
      <c r="F211" s="12">
        <v>72</v>
      </c>
      <c r="G211" s="4">
        <f>COUNT(C211:F211)</f>
        <v>2</v>
      </c>
      <c r="H211" s="5">
        <f>AVERAGEIF(C211:F211,"&gt;0")</f>
        <v>61.25</v>
      </c>
      <c r="I211" s="5" t="str">
        <f>IF(H211&gt;=90,"امتياز",IF(H211&gt;=80,"جيد جدا",IF(H211&gt;=70,"جيد","-")))</f>
        <v>-</v>
      </c>
    </row>
    <row r="212" spans="1:9" ht="29" x14ac:dyDescent="1.75">
      <c r="A212" s="3">
        <v>1212</v>
      </c>
      <c r="B212" s="16" t="s">
        <v>92</v>
      </c>
      <c r="C212" s="10">
        <v>67</v>
      </c>
      <c r="D212" s="13"/>
      <c r="E212" s="10">
        <v>74.5</v>
      </c>
      <c r="F212" s="12">
        <v>70</v>
      </c>
      <c r="G212" s="4">
        <f>COUNT(C212:F212)</f>
        <v>3</v>
      </c>
      <c r="H212" s="5">
        <f>AVERAGEIF(C212:F212,"&gt;0")</f>
        <v>70.5</v>
      </c>
      <c r="I212" s="5" t="str">
        <f>IF(H212&gt;=90,"امتياز",IF(H212&gt;=80,"جيد جدا",IF(H212&gt;=70,"جيد","-")))</f>
        <v>جيد</v>
      </c>
    </row>
    <row r="213" spans="1:9" ht="29" x14ac:dyDescent="1.75">
      <c r="A213" s="3">
        <v>1213</v>
      </c>
      <c r="B213" s="16" t="s">
        <v>22</v>
      </c>
      <c r="C213" s="10">
        <v>63.5</v>
      </c>
      <c r="D213" s="12"/>
      <c r="E213" s="10"/>
      <c r="F213" s="12">
        <v>96.5</v>
      </c>
      <c r="G213" s="4">
        <f>COUNT(C213:F213)</f>
        <v>2</v>
      </c>
      <c r="H213" s="5">
        <f>AVERAGEIF(C213:F213,"&gt;0")</f>
        <v>80</v>
      </c>
      <c r="I213" s="5" t="str">
        <f>IF(H213&gt;=90,"امتياز",IF(H213&gt;=80,"جيد جدا",IF(H213&gt;=70,"جيد","-")))</f>
        <v>جيد جدا</v>
      </c>
    </row>
    <row r="214" spans="1:9" ht="29" x14ac:dyDescent="1.75">
      <c r="A214" s="3">
        <v>1214</v>
      </c>
      <c r="B214" s="17" t="s">
        <v>113</v>
      </c>
      <c r="C214" s="9"/>
      <c r="D214" s="13"/>
      <c r="E214" s="9"/>
      <c r="F214" s="12">
        <v>62</v>
      </c>
      <c r="G214" s="4">
        <f>COUNT(C214:F214)</f>
        <v>1</v>
      </c>
      <c r="H214" s="5">
        <f>AVERAGEIF(C214:F214,"&gt;0")</f>
        <v>62</v>
      </c>
      <c r="I214" s="5" t="str">
        <f>IF(H214&gt;=90,"امتياز",IF(H214&gt;=80,"جيد جدا",IF(H214&gt;=70,"جيد","-")))</f>
        <v>-</v>
      </c>
    </row>
    <row r="215" spans="1:9" ht="29" x14ac:dyDescent="1.75">
      <c r="A215" s="3">
        <v>1215</v>
      </c>
      <c r="B215" s="17" t="s">
        <v>116</v>
      </c>
      <c r="C215" s="9"/>
      <c r="D215" s="13"/>
      <c r="E215" s="9"/>
      <c r="F215" s="12">
        <v>51</v>
      </c>
      <c r="G215" s="4">
        <f>COUNT(C215:F215)</f>
        <v>1</v>
      </c>
      <c r="H215" s="5">
        <f>AVERAGEIF(C215:F215,"&gt;0")</f>
        <v>51</v>
      </c>
      <c r="I215" s="5" t="str">
        <f>IF(H215&gt;=90,"امتياز",IF(H215&gt;=80,"جيد جدا",IF(H215&gt;=70,"جيد","-")))</f>
        <v>-</v>
      </c>
    </row>
    <row r="216" spans="1:9" ht="29" x14ac:dyDescent="1.75">
      <c r="A216" s="3">
        <v>1216</v>
      </c>
      <c r="B216" s="16" t="s">
        <v>16</v>
      </c>
      <c r="C216" s="10">
        <v>85</v>
      </c>
      <c r="D216" s="12"/>
      <c r="E216" s="10"/>
      <c r="F216" s="12"/>
      <c r="G216" s="4">
        <f>COUNT(C216:F216)</f>
        <v>1</v>
      </c>
      <c r="H216" s="5">
        <f>AVERAGEIF(C216:F216,"&gt;0")</f>
        <v>85</v>
      </c>
      <c r="I216" s="5" t="str">
        <f>IF(H216&gt;=90,"امتياز",IF(H216&gt;=80,"جيد جدا",IF(H216&gt;=70,"جيد","-")))</f>
        <v>جيد جدا</v>
      </c>
    </row>
    <row r="217" spans="1:9" ht="29" x14ac:dyDescent="1.75">
      <c r="A217" s="3">
        <v>1217</v>
      </c>
      <c r="B217" s="16" t="s">
        <v>90</v>
      </c>
      <c r="C217" s="10">
        <v>97.5</v>
      </c>
      <c r="D217" s="12">
        <v>97</v>
      </c>
      <c r="E217" s="10">
        <v>98.5</v>
      </c>
      <c r="F217" s="12">
        <v>93.5</v>
      </c>
      <c r="G217" s="4">
        <f>COUNT(C217:F217)</f>
        <v>4</v>
      </c>
      <c r="H217" s="5">
        <f>AVERAGEIF(C217:F217,"&gt;0")</f>
        <v>96.625</v>
      </c>
      <c r="I217" s="5" t="str">
        <f>IF(H217&gt;=90,"امتياز",IF(H217&gt;=80,"جيد جدا",IF(H217&gt;=70,"جيد","-")))</f>
        <v>امتياز</v>
      </c>
    </row>
    <row r="218" spans="1:9" ht="29" x14ac:dyDescent="1.75">
      <c r="A218" s="3">
        <v>1218</v>
      </c>
      <c r="B218" s="17" t="s">
        <v>124</v>
      </c>
      <c r="C218" s="9"/>
      <c r="D218" s="13"/>
      <c r="E218" s="9"/>
      <c r="F218" s="12">
        <v>94</v>
      </c>
      <c r="G218" s="4">
        <f>COUNT(C218:F218)</f>
        <v>1</v>
      </c>
      <c r="H218" s="5">
        <f>AVERAGEIF(C218:F218,"&gt;0")</f>
        <v>94</v>
      </c>
      <c r="I218" s="5" t="str">
        <f>IF(H218&gt;=90,"امتياز",IF(H218&gt;=80,"جيد جدا",IF(H218&gt;=70,"جيد","-")))</f>
        <v>امتياز</v>
      </c>
    </row>
    <row r="219" spans="1:9" ht="29" x14ac:dyDescent="1.75">
      <c r="A219" s="3">
        <v>1219</v>
      </c>
      <c r="B219" s="16" t="s">
        <v>55</v>
      </c>
      <c r="C219" s="10">
        <v>96.5</v>
      </c>
      <c r="D219" s="12">
        <v>99</v>
      </c>
      <c r="E219" s="10">
        <v>96</v>
      </c>
      <c r="F219" s="12"/>
      <c r="G219" s="4">
        <f>COUNT(C219:F219)</f>
        <v>3</v>
      </c>
      <c r="H219" s="5">
        <f>AVERAGEIF(C219:F219,"&gt;0")</f>
        <v>97.166666666666671</v>
      </c>
      <c r="I219" s="5" t="str">
        <f>IF(H219&gt;=90,"امتياز",IF(H219&gt;=80,"جيد جدا",IF(H219&gt;=70,"جيد","-")))</f>
        <v>امتياز</v>
      </c>
    </row>
    <row r="220" spans="1:9" ht="29" x14ac:dyDescent="1.75">
      <c r="A220" s="3">
        <v>1220</v>
      </c>
      <c r="B220" s="16" t="s">
        <v>242</v>
      </c>
      <c r="C220" s="10"/>
      <c r="D220" s="12"/>
      <c r="E220" s="10"/>
      <c r="F220" s="12">
        <v>92</v>
      </c>
      <c r="G220" s="4">
        <f>COUNT(C220:F220)</f>
        <v>1</v>
      </c>
      <c r="H220" s="5">
        <f>AVERAGEIF(C220:F220,"&gt;0")</f>
        <v>92</v>
      </c>
      <c r="I220" s="5" t="str">
        <f>IF(H220&gt;=90,"امتياز",IF(H220&gt;=80,"جيد جدا",IF(H220&gt;=70,"جيد","-")))</f>
        <v>امتياز</v>
      </c>
    </row>
    <row r="221" spans="1:9" ht="29" x14ac:dyDescent="1.75">
      <c r="A221" s="3">
        <v>1221</v>
      </c>
      <c r="B221" s="16" t="s">
        <v>225</v>
      </c>
      <c r="C221" s="10"/>
      <c r="D221" s="12"/>
      <c r="E221" s="10"/>
      <c r="F221" s="12">
        <v>68</v>
      </c>
      <c r="G221" s="4">
        <f>COUNT(C221:F221)</f>
        <v>1</v>
      </c>
      <c r="H221" s="5">
        <f>AVERAGEIF(C221:F221,"&gt;0")</f>
        <v>68</v>
      </c>
      <c r="I221" s="5" t="str">
        <f>IF(H221&gt;=90,"امتياز",IF(H221&gt;=80,"جيد جدا",IF(H221&gt;=70,"جيد","-")))</f>
        <v>-</v>
      </c>
    </row>
    <row r="222" spans="1:9" ht="29" x14ac:dyDescent="1.75">
      <c r="A222" s="3">
        <v>1222</v>
      </c>
      <c r="B222" s="16" t="s">
        <v>226</v>
      </c>
      <c r="C222" s="10"/>
      <c r="D222" s="12"/>
      <c r="E222" s="10"/>
      <c r="F222" s="12">
        <v>51</v>
      </c>
      <c r="G222" s="4">
        <f>COUNT(C222:F222)</f>
        <v>1</v>
      </c>
      <c r="H222" s="5">
        <f>AVERAGEIF(C222:F222,"&gt;0")</f>
        <v>51</v>
      </c>
      <c r="I222" s="5" t="str">
        <f>IF(H222&gt;=90,"امتياز",IF(H222&gt;=80,"جيد جدا",IF(H222&gt;=70,"جيد","-")))</f>
        <v>-</v>
      </c>
    </row>
    <row r="223" spans="1:9" ht="29" x14ac:dyDescent="1.75">
      <c r="A223" s="3">
        <v>1223</v>
      </c>
      <c r="B223" s="16" t="s">
        <v>227</v>
      </c>
      <c r="C223" s="10"/>
      <c r="D223" s="12"/>
      <c r="E223" s="10"/>
      <c r="F223" s="12">
        <v>76</v>
      </c>
      <c r="G223" s="4">
        <f>COUNT(C223:F223)</f>
        <v>1</v>
      </c>
      <c r="H223" s="5">
        <f>AVERAGEIF(C223:F223,"&gt;0")</f>
        <v>76</v>
      </c>
      <c r="I223" s="5" t="str">
        <f>IF(H223&gt;=90,"امتياز",IF(H223&gt;=80,"جيد جدا",IF(H223&gt;=70,"جيد","-")))</f>
        <v>جيد</v>
      </c>
    </row>
    <row r="224" spans="1:9" ht="29" x14ac:dyDescent="1.75">
      <c r="A224" s="3">
        <v>1224</v>
      </c>
      <c r="B224" s="16" t="s">
        <v>228</v>
      </c>
      <c r="C224" s="10"/>
      <c r="D224" s="12"/>
      <c r="E224" s="10"/>
      <c r="F224" s="12">
        <v>85.5</v>
      </c>
      <c r="G224" s="4">
        <f>COUNT(C224:F224)</f>
        <v>1</v>
      </c>
      <c r="H224" s="5">
        <f>AVERAGEIF(C224:F224,"&gt;0")</f>
        <v>85.5</v>
      </c>
      <c r="I224" s="5" t="str">
        <f>IF(H224&gt;=90,"امتياز",IF(H224&gt;=80,"جيد جدا",IF(H224&gt;=70,"جيد","-")))</f>
        <v>جيد جدا</v>
      </c>
    </row>
    <row r="225" spans="1:9" ht="29" x14ac:dyDescent="1.75">
      <c r="A225" s="3">
        <v>1225</v>
      </c>
      <c r="B225" s="16" t="s">
        <v>229</v>
      </c>
      <c r="C225" s="10"/>
      <c r="D225" s="12"/>
      <c r="E225" s="10"/>
      <c r="F225" s="12">
        <v>91</v>
      </c>
      <c r="G225" s="4">
        <f>COUNT(C225:F225)</f>
        <v>1</v>
      </c>
      <c r="H225" s="5">
        <f>AVERAGEIF(C225:F225,"&gt;0")</f>
        <v>91</v>
      </c>
      <c r="I225" s="5" t="str">
        <f>IF(H225&gt;=90,"امتياز",IF(H225&gt;=80,"جيد جدا",IF(H225&gt;=70,"جيد","-")))</f>
        <v>امتياز</v>
      </c>
    </row>
    <row r="226" spans="1:9" ht="29" x14ac:dyDescent="1.75">
      <c r="A226" s="3">
        <v>1226</v>
      </c>
      <c r="B226" s="16" t="s">
        <v>230</v>
      </c>
      <c r="C226" s="10"/>
      <c r="D226" s="12"/>
      <c r="E226" s="10"/>
      <c r="F226" s="12">
        <v>89</v>
      </c>
      <c r="G226" s="4">
        <f>COUNT(C226:F226)</f>
        <v>1</v>
      </c>
      <c r="H226" s="5">
        <f>AVERAGEIF(C226:F226,"&gt;0")</f>
        <v>89</v>
      </c>
      <c r="I226" s="5" t="str">
        <f>IF(H226&gt;=90,"امتياز",IF(H226&gt;=80,"جيد جدا",IF(H226&gt;=70,"جيد","-")))</f>
        <v>جيد جدا</v>
      </c>
    </row>
    <row r="227" spans="1:9" ht="29" x14ac:dyDescent="1.75">
      <c r="A227" s="3">
        <v>1227</v>
      </c>
      <c r="B227" s="16" t="s">
        <v>231</v>
      </c>
      <c r="C227" s="10"/>
      <c r="D227" s="12"/>
      <c r="E227" s="10"/>
      <c r="F227" s="12">
        <v>72</v>
      </c>
      <c r="G227" s="4">
        <f>COUNT(C227:F227)</f>
        <v>1</v>
      </c>
      <c r="H227" s="5">
        <f>AVERAGEIF(C227:F227,"&gt;0")</f>
        <v>72</v>
      </c>
      <c r="I227" s="5" t="str">
        <f>IF(H227&gt;=90,"امتياز",IF(H227&gt;=80,"جيد جدا",IF(H227&gt;=70,"جيد","-")))</f>
        <v>جيد</v>
      </c>
    </row>
    <row r="228" spans="1:9" ht="29" x14ac:dyDescent="1.75">
      <c r="A228" s="3">
        <v>1228</v>
      </c>
      <c r="B228" s="16" t="s">
        <v>232</v>
      </c>
      <c r="C228" s="10"/>
      <c r="D228" s="12"/>
      <c r="E228" s="10"/>
      <c r="F228" s="12">
        <v>69</v>
      </c>
      <c r="G228" s="4">
        <f>COUNT(C228:F228)</f>
        <v>1</v>
      </c>
      <c r="H228" s="5">
        <f>AVERAGEIF(C228:F228,"&gt;0")</f>
        <v>69</v>
      </c>
      <c r="I228" s="5" t="str">
        <f>IF(H228&gt;=90,"امتياز",IF(H228&gt;=80,"جيد جدا",IF(H228&gt;=70,"جيد","-")))</f>
        <v>-</v>
      </c>
    </row>
    <row r="229" spans="1:9" ht="29" x14ac:dyDescent="1.75">
      <c r="A229" s="3">
        <v>1229</v>
      </c>
      <c r="B229" s="16" t="s">
        <v>233</v>
      </c>
      <c r="C229" s="10"/>
      <c r="D229" s="12"/>
      <c r="E229" s="10"/>
      <c r="F229" s="12">
        <v>100</v>
      </c>
      <c r="G229" s="4">
        <f>COUNT(C229:F229)</f>
        <v>1</v>
      </c>
      <c r="H229" s="5">
        <f>AVERAGEIF(C229:F229,"&gt;0")</f>
        <v>100</v>
      </c>
      <c r="I229" s="5" t="str">
        <f>IF(H229&gt;=90,"امتياز",IF(H229&gt;=80,"جيد جدا",IF(H229&gt;=70,"جيد","-")))</f>
        <v>امتياز</v>
      </c>
    </row>
    <row r="230" spans="1:9" ht="29" x14ac:dyDescent="1.75">
      <c r="A230" s="3">
        <v>1230</v>
      </c>
      <c r="B230" s="16" t="s">
        <v>234</v>
      </c>
      <c r="C230" s="10"/>
      <c r="D230" s="12"/>
      <c r="E230" s="10"/>
      <c r="F230" s="12">
        <v>89</v>
      </c>
      <c r="G230" s="4">
        <f>COUNT(C230:F230)</f>
        <v>1</v>
      </c>
      <c r="H230" s="5">
        <f>AVERAGEIF(C230:F230,"&gt;0")</f>
        <v>89</v>
      </c>
      <c r="I230" s="5" t="str">
        <f>IF(H230&gt;=90,"امتياز",IF(H230&gt;=80,"جيد جدا",IF(H230&gt;=70,"جيد","-")))</f>
        <v>جيد جدا</v>
      </c>
    </row>
    <row r="231" spans="1:9" ht="29" x14ac:dyDescent="1.75">
      <c r="A231" s="3">
        <v>1231</v>
      </c>
      <c r="B231" s="16" t="s">
        <v>235</v>
      </c>
      <c r="C231" s="10"/>
      <c r="D231" s="12"/>
      <c r="E231" s="10"/>
      <c r="F231" s="12">
        <v>71</v>
      </c>
      <c r="G231" s="4">
        <f>COUNT(C231:F231)</f>
        <v>1</v>
      </c>
      <c r="H231" s="5">
        <f>AVERAGEIF(C231:F231,"&gt;0")</f>
        <v>71</v>
      </c>
      <c r="I231" s="5" t="str">
        <f>IF(H231&gt;=90,"امتياز",IF(H231&gt;=80,"جيد جدا",IF(H231&gt;=70,"جيد","-")))</f>
        <v>جيد</v>
      </c>
    </row>
    <row r="232" spans="1:9" ht="29" x14ac:dyDescent="1.75">
      <c r="A232" s="3">
        <v>1232</v>
      </c>
      <c r="B232" s="16" t="s">
        <v>236</v>
      </c>
      <c r="C232" s="10"/>
      <c r="D232" s="12"/>
      <c r="E232" s="10"/>
      <c r="F232" s="12">
        <v>88</v>
      </c>
      <c r="G232" s="4">
        <f>COUNT(C232:F232)</f>
        <v>1</v>
      </c>
      <c r="H232" s="5">
        <f>AVERAGEIF(C232:F232,"&gt;0")</f>
        <v>88</v>
      </c>
      <c r="I232" s="5" t="str">
        <f>IF(H232&gt;=90,"امتياز",IF(H232&gt;=80,"جيد جدا",IF(H232&gt;=70,"جيد","-")))</f>
        <v>جيد جدا</v>
      </c>
    </row>
    <row r="233" spans="1:9" ht="29" x14ac:dyDescent="1.75">
      <c r="A233" s="3">
        <v>1233</v>
      </c>
      <c r="B233" s="16" t="s">
        <v>237</v>
      </c>
      <c r="C233" s="10"/>
      <c r="D233" s="12"/>
      <c r="E233" s="10"/>
      <c r="F233" s="12">
        <v>90</v>
      </c>
      <c r="G233" s="4">
        <f>COUNT(C233:F233)</f>
        <v>1</v>
      </c>
      <c r="H233" s="5">
        <f>AVERAGEIF(C233:F233,"&gt;0")</f>
        <v>90</v>
      </c>
      <c r="I233" s="5" t="str">
        <f>IF(H233&gt;=90,"امتياز",IF(H233&gt;=80,"جيد جدا",IF(H233&gt;=70,"جيد","-")))</f>
        <v>امتياز</v>
      </c>
    </row>
    <row r="234" spans="1:9" ht="29" x14ac:dyDescent="1.75">
      <c r="A234" s="3">
        <v>1234</v>
      </c>
      <c r="B234" s="16" t="s">
        <v>238</v>
      </c>
      <c r="C234" s="10"/>
      <c r="D234" s="12"/>
      <c r="E234" s="10"/>
      <c r="F234" s="12">
        <v>67</v>
      </c>
      <c r="G234" s="4">
        <f>COUNT(C234:F234)</f>
        <v>1</v>
      </c>
      <c r="H234" s="5">
        <f>AVERAGEIF(C234:F234,"&gt;0")</f>
        <v>67</v>
      </c>
      <c r="I234" s="5" t="str">
        <f>IF(H234&gt;=90,"امتياز",IF(H234&gt;=80,"جيد جدا",IF(H234&gt;=70,"جيد","-")))</f>
        <v>-</v>
      </c>
    </row>
    <row r="235" spans="1:9" ht="29" x14ac:dyDescent="1.75">
      <c r="A235" s="3">
        <v>1235</v>
      </c>
      <c r="B235" s="16" t="s">
        <v>239</v>
      </c>
      <c r="C235" s="10"/>
      <c r="D235" s="12"/>
      <c r="E235" s="10"/>
      <c r="F235" s="12">
        <v>92</v>
      </c>
      <c r="G235" s="4">
        <f>COUNT(C235:F235)</f>
        <v>1</v>
      </c>
      <c r="H235" s="5">
        <f>AVERAGEIF(C235:F235,"&gt;0")</f>
        <v>92</v>
      </c>
      <c r="I235" s="5" t="str">
        <f>IF(H235&gt;=90,"امتياز",IF(H235&gt;=80,"جيد جدا",IF(H235&gt;=70,"جيد","-")))</f>
        <v>امتياز</v>
      </c>
    </row>
    <row r="236" spans="1:9" ht="29" x14ac:dyDescent="1.75">
      <c r="A236" s="3">
        <v>1236</v>
      </c>
      <c r="B236" s="16" t="s">
        <v>240</v>
      </c>
      <c r="C236" s="10"/>
      <c r="D236" s="12"/>
      <c r="E236" s="10"/>
      <c r="F236" s="12">
        <v>91.5</v>
      </c>
      <c r="G236" s="4">
        <f>COUNT(C236:F236)</f>
        <v>1</v>
      </c>
      <c r="H236" s="5">
        <f>AVERAGEIF(C236:F236,"&gt;0")</f>
        <v>91.5</v>
      </c>
      <c r="I236" s="5" t="str">
        <f>IF(H236&gt;=90,"امتياز",IF(H236&gt;=80,"جيد جدا",IF(H236&gt;=70,"جيد","-")))</f>
        <v>امتياز</v>
      </c>
    </row>
    <row r="237" spans="1:9" ht="29" x14ac:dyDescent="1.75">
      <c r="A237" s="3">
        <v>1237</v>
      </c>
      <c r="B237" s="16" t="s">
        <v>241</v>
      </c>
      <c r="C237" s="10"/>
      <c r="D237" s="12"/>
      <c r="E237" s="10"/>
      <c r="F237" s="12">
        <v>92</v>
      </c>
      <c r="G237" s="4">
        <f>COUNT(C237:F237)</f>
        <v>1</v>
      </c>
      <c r="H237" s="5">
        <f>AVERAGEIF(C237:F237,"&gt;0")</f>
        <v>92</v>
      </c>
      <c r="I237" s="5" t="str">
        <f>IF(H237&gt;=90,"امتياز",IF(H237&gt;=80,"جيد جدا",IF(H237&gt;=70,"جيد","-")))</f>
        <v>امتياز</v>
      </c>
    </row>
    <row r="238" spans="1:9" ht="29" x14ac:dyDescent="1.75">
      <c r="A238" s="3">
        <v>1238</v>
      </c>
      <c r="B238" s="16" t="s">
        <v>243</v>
      </c>
      <c r="C238" s="10"/>
      <c r="D238" s="12"/>
      <c r="E238" s="10"/>
      <c r="F238" s="12">
        <v>91.5</v>
      </c>
      <c r="G238" s="4">
        <f>COUNT(C238:F238)</f>
        <v>1</v>
      </c>
      <c r="H238" s="5">
        <f>AVERAGEIF(C238:F238,"&gt;0")</f>
        <v>91.5</v>
      </c>
      <c r="I238" s="5" t="str">
        <f>IF(H238&gt;=90,"امتياز",IF(H238&gt;=80,"جيد جدا",IF(H238&gt;=70,"جيد","-")))</f>
        <v>امتياز</v>
      </c>
    </row>
  </sheetData>
  <sortState xmlns:xlrd2="http://schemas.microsoft.com/office/spreadsheetml/2017/richdata2" ref="A2:I237">
    <sortCondition ref="A1:A237"/>
  </sortState>
  <pageMargins left="0.7" right="0.7" top="0.75" bottom="0.75" header="0.3" footer="0.3"/>
  <pageSetup paperSize="8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ورقة1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Dr_Ahmed _Eisa</dc:creator>
  <cp:lastModifiedBy>a76444</cp:lastModifiedBy>
  <cp:lastPrinted>2025-08-17T11:58:18Z</cp:lastPrinted>
  <dcterms:created xsi:type="dcterms:W3CDTF">2015-06-05T18:17:20Z</dcterms:created>
  <dcterms:modified xsi:type="dcterms:W3CDTF">2025-08-19T15:50:01Z</dcterms:modified>
</cp:coreProperties>
</file>